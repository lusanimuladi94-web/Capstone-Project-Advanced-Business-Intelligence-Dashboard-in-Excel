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ulad\Desktop\Project Resources\Project Resources\"/>
    </mc:Choice>
  </mc:AlternateContent>
  <xr:revisionPtr revIDLastSave="0" documentId="13_ncr:1_{4CC1EF14-B7C8-48A2-966F-E44E55D628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s" sheetId="4" r:id="rId1"/>
    <sheet name="Sales_All" sheetId="2" r:id="rId2"/>
    <sheet name="Products" sheetId="3" r:id="rId3"/>
  </sheets>
  <definedNames>
    <definedName name="ExternalData_1" localSheetId="1" hidden="1">Sales_All!$A$1:$G$91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29" i="4"/>
  <c r="I29" i="4"/>
  <c r="H29" i="4"/>
  <c r="G29" i="4"/>
  <c r="F29" i="4"/>
  <c r="J28" i="4"/>
  <c r="I28" i="4"/>
  <c r="H28" i="4"/>
  <c r="G28" i="4"/>
  <c r="F28" i="4"/>
  <c r="J27" i="4"/>
  <c r="I27" i="4"/>
  <c r="H27" i="4"/>
  <c r="G27" i="4"/>
  <c r="F27" i="4"/>
  <c r="J26" i="4"/>
  <c r="I26" i="4"/>
  <c r="H26" i="4"/>
  <c r="G26" i="4"/>
  <c r="F26" i="4"/>
  <c r="J25" i="4"/>
  <c r="I25" i="4"/>
  <c r="H25" i="4"/>
  <c r="G25" i="4"/>
  <c r="F25" i="4"/>
  <c r="J24" i="4"/>
  <c r="I24" i="4"/>
  <c r="H24" i="4"/>
  <c r="G24" i="4"/>
  <c r="F24" i="4"/>
  <c r="J23" i="4"/>
  <c r="I23" i="4"/>
  <c r="H23" i="4"/>
  <c r="G23" i="4"/>
  <c r="F23" i="4"/>
  <c r="J22" i="4"/>
  <c r="I22" i="4"/>
  <c r="H22" i="4"/>
  <c r="G22" i="4"/>
  <c r="F22" i="4"/>
  <c r="J21" i="4"/>
  <c r="I21" i="4"/>
  <c r="H21" i="4"/>
  <c r="G21" i="4"/>
  <c r="F21" i="4"/>
  <c r="J20" i="4"/>
  <c r="I20" i="4"/>
  <c r="H20" i="4"/>
  <c r="G20" i="4"/>
  <c r="F20" i="4"/>
  <c r="J19" i="4"/>
  <c r="I19" i="4"/>
  <c r="H19" i="4"/>
  <c r="G19" i="4"/>
  <c r="F19" i="4"/>
  <c r="J18" i="4"/>
  <c r="I18" i="4"/>
  <c r="H18" i="4"/>
  <c r="G18" i="4"/>
  <c r="F18" i="4"/>
  <c r="J17" i="4"/>
  <c r="I17" i="4"/>
  <c r="H17" i="4"/>
  <c r="G17" i="4"/>
  <c r="F17" i="4"/>
  <c r="J16" i="4"/>
  <c r="I16" i="4"/>
  <c r="H16" i="4"/>
  <c r="G16" i="4"/>
  <c r="F16" i="4"/>
  <c r="J15" i="4"/>
  <c r="I15" i="4"/>
  <c r="H15" i="4"/>
  <c r="G15" i="4"/>
  <c r="F15" i="4"/>
  <c r="J14" i="4"/>
  <c r="I14" i="4"/>
  <c r="H14" i="4"/>
  <c r="G14" i="4"/>
  <c r="F14" i="4"/>
  <c r="J13" i="4"/>
  <c r="I13" i="4"/>
  <c r="H13" i="4"/>
  <c r="G13" i="4"/>
  <c r="F13" i="4"/>
  <c r="J12" i="4"/>
  <c r="I12" i="4"/>
  <c r="H12" i="4"/>
  <c r="G12" i="4"/>
  <c r="F12" i="4"/>
  <c r="J11" i="4"/>
  <c r="I11" i="4"/>
  <c r="H11" i="4"/>
  <c r="G11" i="4"/>
  <c r="F11" i="4"/>
  <c r="J10" i="4"/>
  <c r="I10" i="4"/>
  <c r="H10" i="4"/>
  <c r="G10" i="4"/>
  <c r="F10" i="4"/>
  <c r="J9" i="4"/>
  <c r="I9" i="4"/>
  <c r="H9" i="4"/>
  <c r="G9" i="4"/>
  <c r="F9" i="4"/>
  <c r="J8" i="4"/>
  <c r="I8" i="4"/>
  <c r="H8" i="4"/>
  <c r="G8" i="4"/>
  <c r="F8" i="4"/>
  <c r="J7" i="4"/>
  <c r="I7" i="4"/>
  <c r="H7" i="4"/>
  <c r="G7" i="4"/>
  <c r="F7" i="4"/>
  <c r="J6" i="4"/>
  <c r="I6" i="4"/>
  <c r="H6" i="4"/>
  <c r="G6" i="4"/>
  <c r="F6" i="4"/>
  <c r="J5" i="4"/>
  <c r="I5" i="4"/>
  <c r="H5" i="4"/>
  <c r="G5" i="4"/>
  <c r="F5" i="4"/>
  <c r="J4" i="4"/>
  <c r="I4" i="4"/>
  <c r="H4" i="4"/>
  <c r="G4" i="4"/>
  <c r="F4" i="4"/>
  <c r="J3" i="4"/>
  <c r="I3" i="4"/>
  <c r="H3" i="4"/>
  <c r="G3" i="4"/>
  <c r="F3" i="4"/>
  <c r="J2" i="4"/>
  <c r="I2" i="4"/>
  <c r="H2" i="4"/>
  <c r="G2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32918-E0E7-4995-9B1F-3036C646DBC1}" keepAlive="1" name="Query - Sales_All" description="Connection to the 'Sales_All' query in the workbook." type="5" refreshedVersion="8" background="1" saveData="1">
    <dbPr connection="Provider=Microsoft.Mashup.OleDb.1;Data Source=$Workbook$;Location=Sales_All;Extended Properties=&quot;&quot;" command="SELECT * FROM [Sales_All]"/>
  </connection>
  <connection id="2" xr16:uid="{B50EBDD6-4251-4240-809D-BA027773DB96}" keepAlive="1" name="Query - Sales_Q1" description="Connection to the 'Sales_Q1' query in the workbook." type="5" refreshedVersion="0" background="1">
    <dbPr connection="Provider=Microsoft.Mashup.OleDb.1;Data Source=$Workbook$;Location=Sales_Q1;Extended Properties=&quot;&quot;" command="SELECT * FROM [Sales_Q1]"/>
  </connection>
  <connection id="3" xr16:uid="{0CF7D0DB-E230-4640-8DE2-51C18571C24B}" keepAlive="1" name="Query - Sales_Q2" description="Connection to the 'Sales_Q2' query in the workbook." type="5" refreshedVersion="0" background="1">
    <dbPr connection="Provider=Microsoft.Mashup.OleDb.1;Data Source=$Workbook$;Location=Sales_Q2;Extended Properties=&quot;&quot;" command="SELECT * FROM [Sales_Q2]"/>
  </connection>
  <connection id="4" xr16:uid="{AA392785-C07D-4B41-AC6A-0D0041DC50F9}" keepAlive="1" name="Query - Sales_Q3" description="Connection to the 'Sales_Q3' query in the workbook." type="5" refreshedVersion="0" background="1">
    <dbPr connection="Provider=Microsoft.Mashup.OleDb.1;Data Source=$Workbook$;Location=Sales_Q3;Extended Properties=&quot;&quot;" command="SELECT * FROM [Sales_Q3]"/>
  </connection>
</connections>
</file>

<file path=xl/sharedStrings.xml><?xml version="1.0" encoding="utf-8"?>
<sst xmlns="http://schemas.openxmlformats.org/spreadsheetml/2006/main" count="419" uniqueCount="164">
  <si>
    <t>OrderID</t>
  </si>
  <si>
    <t>Date</t>
  </si>
  <si>
    <t>Region</t>
  </si>
  <si>
    <t>CustomerID</t>
  </si>
  <si>
    <t>Product</t>
  </si>
  <si>
    <t>Quantity</t>
  </si>
  <si>
    <t>UnitPrice</t>
  </si>
  <si>
    <t>Q1-001</t>
  </si>
  <si>
    <t>South</t>
  </si>
  <si>
    <t>Tablet</t>
  </si>
  <si>
    <t>Q1-002</t>
  </si>
  <si>
    <t>Headphones</t>
  </si>
  <si>
    <t>Q1-003</t>
  </si>
  <si>
    <t>West</t>
  </si>
  <si>
    <t>Monitor</t>
  </si>
  <si>
    <t>Q1-004</t>
  </si>
  <si>
    <t>East</t>
  </si>
  <si>
    <t>Smartphone</t>
  </si>
  <si>
    <t>Q1-005</t>
  </si>
  <si>
    <t>North</t>
  </si>
  <si>
    <t>Laptop</t>
  </si>
  <si>
    <t>Q1-006</t>
  </si>
  <si>
    <t>Q1-007</t>
  </si>
  <si>
    <t>Q1-008</t>
  </si>
  <si>
    <t>Q1-009</t>
  </si>
  <si>
    <t>Printer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</si>
  <si>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</si>
  <si>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</si>
  <si>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</si>
  <si>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</si>
  <si>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</si>
  <si>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</si>
  <si>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</si>
  <si>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</si>
  <si>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</si>
  <si>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</si>
  <si>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</si>
  <si>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</si>
  <si>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</si>
  <si>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</si>
  <si>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</si>
  <si>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</si>
  <si>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</si>
  <si>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</si>
  <si>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</si>
  <si>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</si>
  <si>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</si>
  <si>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</si>
  <si>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</si>
  <si>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</si>
  <si>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</si>
  <si>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</si>
  <si>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</si>
  <si>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</si>
  <si>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</si>
  <si>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</si>
  <si>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</si>
  <si>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</si>
  <si>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</si>
  <si>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</si>
  <si>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</si>
  <si>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</si>
  <si>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</si>
  <si>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</si>
  <si>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</si>
  <si>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</si>
  <si>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</si>
  <si>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</si>
  <si>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</si>
  <si>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</si>
  <si>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Q2-024</t>
  </si>
  <si>
    <t>Q2-025</t>
  </si>
  <si>
    <t>Q2-026</t>
  </si>
  <si>
    <t>Q2-027</t>
  </si>
  <si>
    <t>Q2-028</t>
  </si>
  <si>
    <t>Q2-029</t>
  </si>
  <si>
    <t>Q2-030</t>
  </si>
  <si>
    <t>Q3-001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</si>
  <si>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</si>
  <si>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</si>
  <si>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</si>
  <si>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</si>
  <si>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</si>
  <si>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</si>
  <si>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</si>
  <si>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</si>
  <si>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</si>
  <si>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</si>
  <si>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</si>
  <si>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</si>
  <si>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</si>
  <si>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</si>
  <si>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</si>
  <si>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</si>
  <si>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</si>
  <si>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</si>
  <si>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</si>
  <si>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</si>
  <si>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</si>
  <si>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</si>
  <si>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</si>
  <si>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</si>
  <si>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</si>
  <si>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t>Q3-027</t>
  </si>
  <si>
    <t>Q3-028</t>
  </si>
  <si>
    <t>Q3-029</t>
  </si>
  <si>
    <t>Q3-030</t>
  </si>
  <si>
    <t>Category</t>
  </si>
  <si>
    <t>UnitCost</t>
  </si>
  <si>
    <t>Discount</t>
  </si>
  <si>
    <t>Electronics</t>
  </si>
  <si>
    <t>Accessories</t>
  </si>
  <si>
    <t>Office</t>
  </si>
  <si>
    <t>FirstName</t>
  </si>
  <si>
    <t>LastName</t>
  </si>
  <si>
    <t>Email</t>
  </si>
  <si>
    <t>Clean FirstName</t>
  </si>
  <si>
    <t>Clean LastName</t>
  </si>
  <si>
    <t>Extracted FirstName</t>
  </si>
  <si>
    <t>Extracted LastName</t>
  </si>
  <si>
    <t>Extracted Email Domain</t>
  </si>
  <si>
    <t>Naledi</t>
  </si>
  <si>
    <t>Pillay</t>
  </si>
  <si>
    <t>naledi.pillay@example.com</t>
  </si>
  <si>
    <t>Michael</t>
  </si>
  <si>
    <t>van Wyk</t>
  </si>
  <si>
    <t>michael.van wyk@example.com</t>
  </si>
  <si>
    <t>Botha</t>
  </si>
  <si>
    <t>naledi.botha@example.com</t>
  </si>
  <si>
    <t>Johnson</t>
  </si>
  <si>
    <t>michael.johnson@example.com</t>
  </si>
  <si>
    <t>Emily</t>
  </si>
  <si>
    <t>emily.johnson@example.com</t>
  </si>
  <si>
    <t>Nguyen</t>
  </si>
  <si>
    <t>michael.nguyen@example.com</t>
  </si>
  <si>
    <t>Sipho</t>
  </si>
  <si>
    <t>sipho.johnson@example.com</t>
  </si>
  <si>
    <t>Sarah</t>
  </si>
  <si>
    <t>sarah.nguyen@example.com</t>
  </si>
  <si>
    <t>John</t>
  </si>
  <si>
    <t>Brown</t>
  </si>
  <si>
    <t>john.brown@example.com</t>
  </si>
  <si>
    <t>Smith</t>
  </si>
  <si>
    <t>john.smith@example.com</t>
  </si>
  <si>
    <t>naledi.van wyk@example.com</t>
  </si>
  <si>
    <t>sipho.van wyk@example.com</t>
  </si>
  <si>
    <t>Mlambo</t>
  </si>
  <si>
    <t>john.mlambo@example.com</t>
  </si>
  <si>
    <t>sipho.nguyen@example.com</t>
  </si>
  <si>
    <t>sipho.smith@example.com</t>
  </si>
  <si>
    <t>michael.mlambo@example.com</t>
  </si>
  <si>
    <t>naledi.nguyen@example.com</t>
  </si>
  <si>
    <t>David</t>
  </si>
  <si>
    <t>david.van wyk@example.com</t>
  </si>
  <si>
    <t>Thabo</t>
  </si>
  <si>
    <t>thabo.botha@example.com</t>
  </si>
  <si>
    <t>Lerato</t>
  </si>
  <si>
    <t>Naidoo</t>
  </si>
  <si>
    <t>lerato.naidoo@example.com</t>
  </si>
  <si>
    <t>Aisha</t>
  </si>
  <si>
    <t>aisha.brown@example.com</t>
  </si>
  <si>
    <t>lerato.van wyk@example.com</t>
  </si>
  <si>
    <t>Unit Cost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</si>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</sst>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 cent" xfId="1" builtinId="5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64" formatCode="[$-809]dd\ mmmm\ 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540C84-93C0-4BC4-86A5-CC280AD4A6C4}" autoFormatId="16" applyNumberFormats="0" applyBorderFormats="0" applyFontFormats="0" applyPatternFormats="0" applyAlignmentFormats="0" applyWidthHeightFormats="0">
  <queryTableRefresh nextId="12" unboundColumnsRight="3">
    <queryTableFields count="10">
      <queryTableField id="1" name="OrderID" tableColumnId="1"/>
      <queryTableField id="2" name="Date" tableColumnId="2"/>
      <queryTableField id="3" name="Region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18D66D-4F6B-4CA0-887A-F17ED6116E2A}" name="Table1" displayName="Table1" ref="A1:J29" totalsRowShown="0" headerRowDxfId="9" headerRowBorderDxfId="8" tableBorderDxfId="7">
  <autoFilter ref="A1:J29" xr:uid="{69D3FEC1-FB80-4471-A937-35409F2521E3}"/>
  <tableColumns count="10">
    <tableColumn id="1" xr3:uid="{9D828E7E-197C-4681-BE2A-BF88085D01D9}" name="CustomerID"/>
    <tableColumn id="2" xr3:uid="{C85F945F-EE75-4D39-9B26-E4F827755FE8}" name="FirstName"/>
    <tableColumn id="3" xr3:uid="{30CAE7D4-BFF0-455D-8FE0-4CE25949F198}" name="LastName"/>
    <tableColumn id="4" xr3:uid="{78BCC6AC-F3AA-4194-A879-82427BE84C1F}" name="Email"/>
    <tableColumn id="5" xr3:uid="{D065B2F0-4C72-423C-9155-B178D7704345}" name="Region"/>
    <tableColumn id="6" xr3:uid="{324D5AB2-D807-4B13-AF91-AF4B1B8C8315}" name="Clean FirstName">
      <calculatedColumnFormula>PROPER(B2)</calculatedColumnFormula>
    </tableColumn>
    <tableColumn id="7" xr3:uid="{24B66471-5F21-465B-AACF-5B14E25F63B5}" name="Clean LastName">
      <calculatedColumnFormula>PROPER(C2)</calculatedColumnFormula>
    </tableColumn>
    <tableColumn id="8" xr3:uid="{43282780-9E37-4E89-A426-E429711766F7}" name="Extracted FirstName">
      <calculatedColumnFormula>PROPER(LEFT(D2,FIND(".",D2)-1))</calculatedColumnFormula>
    </tableColumn>
    <tableColumn id="9" xr3:uid="{5FB1D9C3-6BDB-474A-B8C4-F3672805A810}" name="Extracted LastName">
      <calculatedColumnFormula>PROPER(MID(D2,FIND(".",D2)+1,FIND("@",D2)-FIND(".",D2)-1))</calculatedColumnFormula>
    </tableColumn>
    <tableColumn id="10" xr3:uid="{F47B66D4-CA3A-4331-844B-5415037FF749}" name="Extracted Email Domain">
      <calculatedColumnFormula>RIGHT(D2,LEN(D2)-FIND("@",D2))</calculatedColumnFormula>
    </tableColumn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49144-3A26-472C-A3F7-88C21C5F88C6}" name="Sales_All" displayName="Sales_All" ref="A1:J91" tableType="queryTable" totalsRowShown="0">
  <autoFilter ref="A1:J91" xr:uid="{ABD06C2F-EFAC-424B-96E7-201E0F15235C}"/>
  <tableColumns count="10">
    <tableColumn id="1" xr3:uid="{A88C0B00-7FB9-4D58-A1EA-DA67BDC5659C}" uniqueName="1" name="OrderID" queryTableFieldId="1" dataDxfId="13"/>
    <tableColumn id="2" xr3:uid="{C23DF250-A6F1-45D8-AD0D-D05FC21466F7}" uniqueName="2" name="Date" queryTableFieldId="2" dataDxfId="12"/>
    <tableColumn id="3" xr3:uid="{7C6D47A2-1B17-4B56-A549-BADD45CEFA42}" uniqueName="3" name="Region" queryTableFieldId="3" dataDxfId="11"/>
    <tableColumn id="4" xr3:uid="{8F496ECB-EEFF-453A-AD6A-31E245FE58D0}" uniqueName="4" name="CustomerID" queryTableFieldId="4"/>
    <tableColumn id="5" xr3:uid="{6B3670A8-A474-4760-9862-96ADF0E3F109}" uniqueName="5" name="Product" queryTableFieldId="5" dataDxfId="10"/>
    <tableColumn id="6" xr3:uid="{252004C1-F9B8-4217-AE5D-B956164BEE74}" uniqueName="6" name="Quantity" queryTableFieldId="6"/>
    <tableColumn id="7" xr3:uid="{D3B30281-C825-4609-A98A-2CEE843C3A15}" uniqueName="7" name="UnitPrice" queryTableFieldId="7"/>
    <tableColumn id="8" xr3:uid="{8BDD4B64-17DA-406B-907E-F85CEFA7447C}" uniqueName="8" name="Category" queryTableFieldId="8" dataDxfId="3">
      <calculatedColumnFormula>_xlfn.XLOOKUP(E2,tblProducts[Product],tblProducts[Category],"Not Found")</calculatedColumnFormula>
    </tableColumn>
    <tableColumn id="9" xr3:uid="{E37339FD-3130-4BCB-97DA-63D4E8DF6D98}" uniqueName="9" name="Unit Cost" queryTableFieldId="9" dataDxfId="2">
      <calculatedColumnFormula>_xlfn.XLOOKUP(E2,tblProducts[Product],tblProducts[UnitCost],"Not Found")</calculatedColumnFormula>
    </tableColumn>
    <tableColumn id="10" xr3:uid="{D589D1E6-D11C-49F6-B448-D4BBF92A76CA}" uniqueName="10" name="Discount %" queryTableFieldId="10" dataCellStyle="Per cent">
      <calculatedColumnFormula>_xlfn.XLOOKUP(E2,tblProducts[Product],tblProducts[Discount],"Not Found")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39D6FD-C87E-4EE5-A9DD-F095C903A1AA}" name="tblProducts" displayName="tblProducts" ref="A1:E7" totalsRowShown="0" headerRowDxfId="6" headerRowBorderDxfId="5" tableBorderDxfId="4">
  <autoFilter ref="A1:E7" xr:uid="{7A39D6FD-C87E-4EE5-A9DD-F095C903A1AA}"/>
  <tableColumns count="5">
    <tableColumn id="1" xr3:uid="{DE9D14C7-136A-4456-91BD-92F2B7028E99}" name="Product"/>
    <tableColumn id="2" xr3:uid="{E6061381-E901-42CA-A9D1-3426C46C1FFB}" name="Category"/>
    <tableColumn id="3" xr3:uid="{5A1BEA3A-F2CF-4DEE-AD7A-F4DA0E659C3B}" name="UnitPrice"/>
    <tableColumn id="4" xr3:uid="{4CB74618-6610-4E60-80FD-64081AAA6A5E}" name="UnitCost"/>
    <tableColumn id="5" xr3:uid="{991255D0-2816-4ED8-A5A6-1AF087DD2714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D23-AA24-4A54-AE84-07CD3405333E}">
  <dimension ref="A1:J29"/>
  <sheetViews>
    <sheetView workbookViewId="0">
      <selection activeCell="F4" sqref="F4"/>
    </sheetView>
  </sheetViews>
  <sheetFormatPr defaultRowHeight="14.4" x14ac:dyDescent="0.3"/>
  <cols>
    <col min="1" max="1" width="12.77734375" customWidth="1"/>
    <col min="2" max="2" width="12.44140625" customWidth="1"/>
    <col min="3" max="3" width="12.88671875" customWidth="1"/>
    <col min="4" max="4" width="30.77734375" customWidth="1"/>
    <col min="5" max="5" width="11.44140625" customWidth="1"/>
    <col min="6" max="6" width="20.109375" customWidth="1"/>
    <col min="7" max="7" width="19.44140625" customWidth="1"/>
    <col min="8" max="8" width="21.21875" customWidth="1"/>
    <col min="9" max="9" width="20.109375" customWidth="1"/>
    <col min="10" max="10" width="23.77734375" customWidth="1"/>
  </cols>
  <sheetData>
    <row r="1" spans="1:10" ht="25.05" customHeight="1" x14ac:dyDescent="0.3">
      <c r="A1" s="2" t="s">
        <v>3</v>
      </c>
      <c r="B1" s="2" t="s">
        <v>113</v>
      </c>
      <c r="C1" s="2" t="s">
        <v>114</v>
      </c>
      <c r="D1" s="2" t="s">
        <v>115</v>
      </c>
      <c r="E1" s="2" t="s">
        <v>2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</row>
    <row r="2" spans="1:10" x14ac:dyDescent="0.3">
      <c r="A2">
        <v>1001</v>
      </c>
      <c r="B2" t="s">
        <v>121</v>
      </c>
      <c r="C2" t="s">
        <v>122</v>
      </c>
      <c r="D2" t="s">
        <v>123</v>
      </c>
      <c r="E2" t="s">
        <v>16</v>
      </c>
      <c r="F2" t="str">
        <f>PROPER(B2)</f>
        <v>Naledi</v>
      </c>
      <c r="G2" t="str">
        <f>PROPER(C2)</f>
        <v>Pillay</v>
      </c>
      <c r="H2" t="str">
        <f>PROPER(LEFT(D2,FIND(".",D2)-1))</f>
        <v>Naledi</v>
      </c>
      <c r="I2" t="str">
        <f>PROPER(MID(D2,FIND(".",D2)+1,FIND("@",D2)-FIND(".",D2)-1))</f>
        <v>Pillay</v>
      </c>
      <c r="J2" t="str">
        <f>RIGHT(D2,LEN(D2)-FIND("@",D2))</f>
        <v>example.com</v>
      </c>
    </row>
    <row r="3" spans="1:10" x14ac:dyDescent="0.3">
      <c r="A3">
        <v>1002</v>
      </c>
      <c r="B3" t="s">
        <v>124</v>
      </c>
      <c r="C3" t="s">
        <v>125</v>
      </c>
      <c r="D3" t="s">
        <v>126</v>
      </c>
      <c r="E3" t="s">
        <v>16</v>
      </c>
      <c r="F3" t="str">
        <f t="shared" ref="F3:G29" si="0">PROPER(B3)</f>
        <v>Michael</v>
      </c>
      <c r="G3" t="str">
        <f t="shared" si="0"/>
        <v>Van Wyk</v>
      </c>
      <c r="H3" t="str">
        <f t="shared" ref="H3:H29" si="1">PROPER(LEFT(D3,FIND(".",D3)-1))</f>
        <v>Michael</v>
      </c>
      <c r="I3" t="str">
        <f t="shared" ref="I3:I29" si="2">PROPER(MID(D3,FIND(".",D3)+1,FIND("@",D3)-FIND(".",D3)-1))</f>
        <v>Van Wyk</v>
      </c>
      <c r="J3" t="str">
        <f t="shared" ref="J3:J29" si="3">RIGHT(D3,LEN(D3)-FIND("@",D3))</f>
        <v>example.com</v>
      </c>
    </row>
    <row r="4" spans="1:10" x14ac:dyDescent="0.3">
      <c r="A4">
        <v>1003</v>
      </c>
      <c r="B4" t="s">
        <v>121</v>
      </c>
      <c r="C4" t="s">
        <v>127</v>
      </c>
      <c r="D4" t="s">
        <v>128</v>
      </c>
      <c r="E4" t="s">
        <v>16</v>
      </c>
      <c r="F4" t="str">
        <f t="shared" si="0"/>
        <v>Naledi</v>
      </c>
      <c r="G4" t="str">
        <f t="shared" si="0"/>
        <v>Botha</v>
      </c>
      <c r="H4" t="str">
        <f t="shared" si="1"/>
        <v>Naledi</v>
      </c>
      <c r="I4" t="str">
        <f t="shared" si="2"/>
        <v>Botha</v>
      </c>
      <c r="J4" t="str">
        <f t="shared" si="3"/>
        <v>example.com</v>
      </c>
    </row>
    <row r="5" spans="1:10" x14ac:dyDescent="0.3">
      <c r="A5">
        <v>1004</v>
      </c>
      <c r="B5" t="s">
        <v>121</v>
      </c>
      <c r="C5" t="s">
        <v>127</v>
      </c>
      <c r="D5" t="s">
        <v>128</v>
      </c>
      <c r="E5" t="s">
        <v>19</v>
      </c>
      <c r="F5" t="str">
        <f t="shared" si="0"/>
        <v>Naledi</v>
      </c>
      <c r="G5" t="str">
        <f t="shared" si="0"/>
        <v>Botha</v>
      </c>
      <c r="H5" t="str">
        <f t="shared" si="1"/>
        <v>Naledi</v>
      </c>
      <c r="I5" t="str">
        <f t="shared" si="2"/>
        <v>Botha</v>
      </c>
      <c r="J5" t="str">
        <f t="shared" si="3"/>
        <v>example.com</v>
      </c>
    </row>
    <row r="6" spans="1:10" x14ac:dyDescent="0.3">
      <c r="A6">
        <v>1005</v>
      </c>
      <c r="B6" t="s">
        <v>124</v>
      </c>
      <c r="C6" t="s">
        <v>129</v>
      </c>
      <c r="D6" t="s">
        <v>130</v>
      </c>
      <c r="E6" t="s">
        <v>19</v>
      </c>
      <c r="F6" t="str">
        <f t="shared" si="0"/>
        <v>Michael</v>
      </c>
      <c r="G6" t="str">
        <f t="shared" si="0"/>
        <v>Johnson</v>
      </c>
      <c r="H6" t="str">
        <f t="shared" si="1"/>
        <v>Michael</v>
      </c>
      <c r="I6" t="str">
        <f t="shared" si="2"/>
        <v>Johnson</v>
      </c>
      <c r="J6" t="str">
        <f t="shared" si="3"/>
        <v>example.com</v>
      </c>
    </row>
    <row r="7" spans="1:10" x14ac:dyDescent="0.3">
      <c r="A7">
        <v>1006</v>
      </c>
      <c r="B7" t="s">
        <v>131</v>
      </c>
      <c r="C7" t="s">
        <v>129</v>
      </c>
      <c r="D7" t="s">
        <v>132</v>
      </c>
      <c r="E7" t="s">
        <v>8</v>
      </c>
      <c r="F7" t="str">
        <f t="shared" si="0"/>
        <v>Emily</v>
      </c>
      <c r="G7" t="str">
        <f t="shared" si="0"/>
        <v>Johnson</v>
      </c>
      <c r="H7" t="str">
        <f t="shared" si="1"/>
        <v>Emily</v>
      </c>
      <c r="I7" t="str">
        <f t="shared" si="2"/>
        <v>Johnson</v>
      </c>
      <c r="J7" t="str">
        <f t="shared" si="3"/>
        <v>example.com</v>
      </c>
    </row>
    <row r="8" spans="1:10" x14ac:dyDescent="0.3">
      <c r="A8">
        <v>1007</v>
      </c>
      <c r="B8" t="s">
        <v>124</v>
      </c>
      <c r="C8" t="s">
        <v>133</v>
      </c>
      <c r="D8" t="s">
        <v>134</v>
      </c>
      <c r="E8" t="s">
        <v>13</v>
      </c>
      <c r="F8" t="str">
        <f t="shared" si="0"/>
        <v>Michael</v>
      </c>
      <c r="G8" t="str">
        <f t="shared" si="0"/>
        <v>Nguyen</v>
      </c>
      <c r="H8" t="str">
        <f t="shared" si="1"/>
        <v>Michael</v>
      </c>
      <c r="I8" t="str">
        <f t="shared" si="2"/>
        <v>Nguyen</v>
      </c>
      <c r="J8" t="str">
        <f t="shared" si="3"/>
        <v>example.com</v>
      </c>
    </row>
    <row r="9" spans="1:10" x14ac:dyDescent="0.3">
      <c r="A9">
        <v>1008</v>
      </c>
      <c r="B9" t="s">
        <v>135</v>
      </c>
      <c r="C9" t="s">
        <v>129</v>
      </c>
      <c r="D9" t="s">
        <v>136</v>
      </c>
      <c r="E9" t="s">
        <v>16</v>
      </c>
      <c r="F9" t="str">
        <f t="shared" si="0"/>
        <v>Sipho</v>
      </c>
      <c r="G9" t="str">
        <f t="shared" si="0"/>
        <v>Johnson</v>
      </c>
      <c r="H9" t="str">
        <f t="shared" si="1"/>
        <v>Sipho</v>
      </c>
      <c r="I9" t="str">
        <f t="shared" si="2"/>
        <v>Johnson</v>
      </c>
      <c r="J9" t="str">
        <f t="shared" si="3"/>
        <v>example.com</v>
      </c>
    </row>
    <row r="10" spans="1:10" x14ac:dyDescent="0.3">
      <c r="A10">
        <v>1009</v>
      </c>
      <c r="B10" t="s">
        <v>137</v>
      </c>
      <c r="C10" t="s">
        <v>133</v>
      </c>
      <c r="D10" t="s">
        <v>138</v>
      </c>
      <c r="E10" t="s">
        <v>19</v>
      </c>
      <c r="F10" t="str">
        <f t="shared" si="0"/>
        <v>Sarah</v>
      </c>
      <c r="G10" t="str">
        <f t="shared" si="0"/>
        <v>Nguyen</v>
      </c>
      <c r="H10" t="str">
        <f t="shared" si="1"/>
        <v>Sarah</v>
      </c>
      <c r="I10" t="str">
        <f t="shared" si="2"/>
        <v>Nguyen</v>
      </c>
      <c r="J10" t="str">
        <f t="shared" si="3"/>
        <v>example.com</v>
      </c>
    </row>
    <row r="11" spans="1:10" x14ac:dyDescent="0.3">
      <c r="A11">
        <v>1010</v>
      </c>
      <c r="B11" t="s">
        <v>139</v>
      </c>
      <c r="C11" t="s">
        <v>140</v>
      </c>
      <c r="D11" t="s">
        <v>141</v>
      </c>
      <c r="E11" t="s">
        <v>16</v>
      </c>
      <c r="F11" t="str">
        <f t="shared" si="0"/>
        <v>John</v>
      </c>
      <c r="G11" t="str">
        <f t="shared" si="0"/>
        <v>Brown</v>
      </c>
      <c r="H11" t="str">
        <f t="shared" si="1"/>
        <v>John</v>
      </c>
      <c r="I11" t="str">
        <f t="shared" si="2"/>
        <v>Brown</v>
      </c>
      <c r="J11" t="str">
        <f t="shared" si="3"/>
        <v>example.com</v>
      </c>
    </row>
    <row r="12" spans="1:10" x14ac:dyDescent="0.3">
      <c r="A12">
        <v>1011</v>
      </c>
      <c r="B12" t="s">
        <v>139</v>
      </c>
      <c r="C12" t="s">
        <v>142</v>
      </c>
      <c r="D12" t="s">
        <v>143</v>
      </c>
      <c r="E12" t="s">
        <v>8</v>
      </c>
      <c r="F12" t="str">
        <f t="shared" si="0"/>
        <v>John</v>
      </c>
      <c r="G12" t="str">
        <f t="shared" si="0"/>
        <v>Smith</v>
      </c>
      <c r="H12" t="str">
        <f t="shared" si="1"/>
        <v>John</v>
      </c>
      <c r="I12" t="str">
        <f t="shared" si="2"/>
        <v>Smith</v>
      </c>
      <c r="J12" t="str">
        <f t="shared" si="3"/>
        <v>example.com</v>
      </c>
    </row>
    <row r="13" spans="1:10" x14ac:dyDescent="0.3">
      <c r="A13">
        <v>1012</v>
      </c>
      <c r="B13" t="s">
        <v>121</v>
      </c>
      <c r="C13" t="s">
        <v>125</v>
      </c>
      <c r="D13" t="s">
        <v>144</v>
      </c>
      <c r="E13" t="s">
        <v>16</v>
      </c>
      <c r="F13" t="str">
        <f t="shared" si="0"/>
        <v>Naledi</v>
      </c>
      <c r="G13" t="str">
        <f t="shared" si="0"/>
        <v>Van Wyk</v>
      </c>
      <c r="H13" t="str">
        <f t="shared" si="1"/>
        <v>Naledi</v>
      </c>
      <c r="I13" t="str">
        <f t="shared" si="2"/>
        <v>Van Wyk</v>
      </c>
      <c r="J13" t="str">
        <f t="shared" si="3"/>
        <v>example.com</v>
      </c>
    </row>
    <row r="14" spans="1:10" x14ac:dyDescent="0.3">
      <c r="A14">
        <v>1013</v>
      </c>
      <c r="B14" t="s">
        <v>135</v>
      </c>
      <c r="C14" t="s">
        <v>125</v>
      </c>
      <c r="D14" t="s">
        <v>145</v>
      </c>
      <c r="E14" t="s">
        <v>8</v>
      </c>
      <c r="F14" t="str">
        <f t="shared" si="0"/>
        <v>Sipho</v>
      </c>
      <c r="G14" t="str">
        <f t="shared" si="0"/>
        <v>Van Wyk</v>
      </c>
      <c r="H14" t="str">
        <f t="shared" si="1"/>
        <v>Sipho</v>
      </c>
      <c r="I14" t="str">
        <f t="shared" si="2"/>
        <v>Van Wyk</v>
      </c>
      <c r="J14" t="str">
        <f t="shared" si="3"/>
        <v>example.com</v>
      </c>
    </row>
    <row r="15" spans="1:10" x14ac:dyDescent="0.3">
      <c r="A15">
        <v>1014</v>
      </c>
      <c r="B15" t="s">
        <v>139</v>
      </c>
      <c r="C15" t="s">
        <v>146</v>
      </c>
      <c r="D15" t="s">
        <v>147</v>
      </c>
      <c r="E15" t="s">
        <v>16</v>
      </c>
      <c r="F15" t="str">
        <f t="shared" si="0"/>
        <v>John</v>
      </c>
      <c r="G15" t="str">
        <f t="shared" si="0"/>
        <v>Mlambo</v>
      </c>
      <c r="H15" t="str">
        <f t="shared" si="1"/>
        <v>John</v>
      </c>
      <c r="I15" t="str">
        <f t="shared" si="2"/>
        <v>Mlambo</v>
      </c>
      <c r="J15" t="str">
        <f t="shared" si="3"/>
        <v>example.com</v>
      </c>
    </row>
    <row r="16" spans="1:10" x14ac:dyDescent="0.3">
      <c r="A16">
        <v>1015</v>
      </c>
      <c r="B16" t="s">
        <v>139</v>
      </c>
      <c r="C16" t="s">
        <v>142</v>
      </c>
      <c r="D16" t="s">
        <v>143</v>
      </c>
      <c r="E16" t="s">
        <v>8</v>
      </c>
      <c r="F16" t="str">
        <f t="shared" si="0"/>
        <v>John</v>
      </c>
      <c r="G16" t="str">
        <f t="shared" si="0"/>
        <v>Smith</v>
      </c>
      <c r="H16" t="str">
        <f t="shared" si="1"/>
        <v>John</v>
      </c>
      <c r="I16" t="str">
        <f t="shared" si="2"/>
        <v>Smith</v>
      </c>
      <c r="J16" t="str">
        <f t="shared" si="3"/>
        <v>example.com</v>
      </c>
    </row>
    <row r="17" spans="1:10" x14ac:dyDescent="0.3">
      <c r="A17">
        <v>1016</v>
      </c>
      <c r="B17" t="s">
        <v>135</v>
      </c>
      <c r="C17" t="s">
        <v>133</v>
      </c>
      <c r="D17" t="s">
        <v>148</v>
      </c>
      <c r="E17" t="s">
        <v>13</v>
      </c>
      <c r="F17" t="str">
        <f t="shared" si="0"/>
        <v>Sipho</v>
      </c>
      <c r="G17" t="str">
        <f t="shared" si="0"/>
        <v>Nguyen</v>
      </c>
      <c r="H17" t="str">
        <f t="shared" si="1"/>
        <v>Sipho</v>
      </c>
      <c r="I17" t="str">
        <f t="shared" si="2"/>
        <v>Nguyen</v>
      </c>
      <c r="J17" t="str">
        <f t="shared" si="3"/>
        <v>example.com</v>
      </c>
    </row>
    <row r="18" spans="1:10" x14ac:dyDescent="0.3">
      <c r="A18">
        <v>1017</v>
      </c>
      <c r="B18" t="s">
        <v>135</v>
      </c>
      <c r="C18" t="s">
        <v>142</v>
      </c>
      <c r="D18" t="s">
        <v>149</v>
      </c>
      <c r="E18" t="s">
        <v>19</v>
      </c>
      <c r="F18" t="str">
        <f t="shared" si="0"/>
        <v>Sipho</v>
      </c>
      <c r="G18" t="str">
        <f t="shared" si="0"/>
        <v>Smith</v>
      </c>
      <c r="H18" t="str">
        <f t="shared" si="1"/>
        <v>Sipho</v>
      </c>
      <c r="I18" t="str">
        <f t="shared" si="2"/>
        <v>Smith</v>
      </c>
      <c r="J18" t="str">
        <f t="shared" si="3"/>
        <v>example.com</v>
      </c>
    </row>
    <row r="19" spans="1:10" x14ac:dyDescent="0.3">
      <c r="A19">
        <v>1018</v>
      </c>
      <c r="B19" t="s">
        <v>124</v>
      </c>
      <c r="C19" t="s">
        <v>146</v>
      </c>
      <c r="D19" t="s">
        <v>150</v>
      </c>
      <c r="E19" t="s">
        <v>8</v>
      </c>
      <c r="F19" t="str">
        <f t="shared" si="0"/>
        <v>Michael</v>
      </c>
      <c r="G19" t="str">
        <f t="shared" si="0"/>
        <v>Mlambo</v>
      </c>
      <c r="H19" t="str">
        <f t="shared" si="1"/>
        <v>Michael</v>
      </c>
      <c r="I19" t="str">
        <f t="shared" si="2"/>
        <v>Mlambo</v>
      </c>
      <c r="J19" t="str">
        <f t="shared" si="3"/>
        <v>example.com</v>
      </c>
    </row>
    <row r="20" spans="1:10" x14ac:dyDescent="0.3">
      <c r="A20">
        <v>1019</v>
      </c>
      <c r="B20" t="s">
        <v>121</v>
      </c>
      <c r="C20" t="s">
        <v>133</v>
      </c>
      <c r="D20" t="s">
        <v>151</v>
      </c>
      <c r="E20" t="s">
        <v>19</v>
      </c>
      <c r="F20" t="str">
        <f t="shared" si="0"/>
        <v>Naledi</v>
      </c>
      <c r="G20" t="str">
        <f t="shared" si="0"/>
        <v>Nguyen</v>
      </c>
      <c r="H20" t="str">
        <f t="shared" si="1"/>
        <v>Naledi</v>
      </c>
      <c r="I20" t="str">
        <f t="shared" si="2"/>
        <v>Nguyen</v>
      </c>
      <c r="J20" t="str">
        <f t="shared" si="3"/>
        <v>example.com</v>
      </c>
    </row>
    <row r="21" spans="1:10" x14ac:dyDescent="0.3">
      <c r="A21">
        <v>1020</v>
      </c>
      <c r="B21" t="s">
        <v>152</v>
      </c>
      <c r="C21" t="s">
        <v>125</v>
      </c>
      <c r="D21" t="s">
        <v>153</v>
      </c>
      <c r="E21" t="s">
        <v>13</v>
      </c>
      <c r="F21" t="str">
        <f t="shared" si="0"/>
        <v>David</v>
      </c>
      <c r="G21" t="str">
        <f t="shared" si="0"/>
        <v>Van Wyk</v>
      </c>
      <c r="H21" t="str">
        <f t="shared" si="1"/>
        <v>David</v>
      </c>
      <c r="I21" t="str">
        <f t="shared" si="2"/>
        <v>Van Wyk</v>
      </c>
      <c r="J21" t="str">
        <f t="shared" si="3"/>
        <v>example.com</v>
      </c>
    </row>
    <row r="22" spans="1:10" x14ac:dyDescent="0.3">
      <c r="A22">
        <v>1021</v>
      </c>
      <c r="B22" t="s">
        <v>154</v>
      </c>
      <c r="C22" t="s">
        <v>127</v>
      </c>
      <c r="D22" t="s">
        <v>155</v>
      </c>
      <c r="E22" t="s">
        <v>8</v>
      </c>
      <c r="F22" t="str">
        <f t="shared" si="0"/>
        <v>Thabo</v>
      </c>
      <c r="G22" t="str">
        <f t="shared" si="0"/>
        <v>Botha</v>
      </c>
      <c r="H22" t="str">
        <f t="shared" si="1"/>
        <v>Thabo</v>
      </c>
      <c r="I22" t="str">
        <f t="shared" si="2"/>
        <v>Botha</v>
      </c>
      <c r="J22" t="str">
        <f t="shared" si="3"/>
        <v>example.com</v>
      </c>
    </row>
    <row r="23" spans="1:10" x14ac:dyDescent="0.3">
      <c r="A23">
        <v>1022</v>
      </c>
      <c r="B23" t="s">
        <v>135</v>
      </c>
      <c r="C23" t="s">
        <v>125</v>
      </c>
      <c r="D23" t="s">
        <v>145</v>
      </c>
      <c r="E23" t="s">
        <v>13</v>
      </c>
      <c r="F23" t="str">
        <f t="shared" si="0"/>
        <v>Sipho</v>
      </c>
      <c r="G23" t="str">
        <f t="shared" si="0"/>
        <v>Van Wyk</v>
      </c>
      <c r="H23" t="str">
        <f t="shared" si="1"/>
        <v>Sipho</v>
      </c>
      <c r="I23" t="str">
        <f t="shared" si="2"/>
        <v>Van Wyk</v>
      </c>
      <c r="J23" t="str">
        <f t="shared" si="3"/>
        <v>example.com</v>
      </c>
    </row>
    <row r="24" spans="1:10" x14ac:dyDescent="0.3">
      <c r="A24">
        <v>1023</v>
      </c>
      <c r="B24" t="s">
        <v>156</v>
      </c>
      <c r="C24" t="s">
        <v>157</v>
      </c>
      <c r="D24" t="s">
        <v>158</v>
      </c>
      <c r="E24" t="s">
        <v>13</v>
      </c>
      <c r="F24" t="str">
        <f t="shared" si="0"/>
        <v>Lerato</v>
      </c>
      <c r="G24" t="str">
        <f t="shared" si="0"/>
        <v>Naidoo</v>
      </c>
      <c r="H24" t="str">
        <f t="shared" si="1"/>
        <v>Lerato</v>
      </c>
      <c r="I24" t="str">
        <f t="shared" si="2"/>
        <v>Naidoo</v>
      </c>
      <c r="J24" t="str">
        <f t="shared" si="3"/>
        <v>example.com</v>
      </c>
    </row>
    <row r="25" spans="1:10" x14ac:dyDescent="0.3">
      <c r="A25">
        <v>1024</v>
      </c>
      <c r="B25" t="s">
        <v>159</v>
      </c>
      <c r="C25" t="s">
        <v>140</v>
      </c>
      <c r="D25" t="s">
        <v>160</v>
      </c>
      <c r="E25" t="s">
        <v>16</v>
      </c>
      <c r="F25" t="str">
        <f t="shared" si="0"/>
        <v>Aisha</v>
      </c>
      <c r="G25" t="str">
        <f t="shared" si="0"/>
        <v>Brown</v>
      </c>
      <c r="H25" t="str">
        <f t="shared" si="1"/>
        <v>Aisha</v>
      </c>
      <c r="I25" t="str">
        <f t="shared" si="2"/>
        <v>Brown</v>
      </c>
      <c r="J25" t="str">
        <f t="shared" si="3"/>
        <v>example.com</v>
      </c>
    </row>
    <row r="26" spans="1:10" x14ac:dyDescent="0.3">
      <c r="A26">
        <v>1025</v>
      </c>
      <c r="B26" t="s">
        <v>156</v>
      </c>
      <c r="C26" t="s">
        <v>125</v>
      </c>
      <c r="D26" t="s">
        <v>161</v>
      </c>
      <c r="E26" t="s">
        <v>16</v>
      </c>
      <c r="F26" t="str">
        <f t="shared" si="0"/>
        <v>Lerato</v>
      </c>
      <c r="G26" t="str">
        <f t="shared" si="0"/>
        <v>Van Wyk</v>
      </c>
      <c r="H26" t="str">
        <f t="shared" si="1"/>
        <v>Lerato</v>
      </c>
      <c r="I26" t="str">
        <f t="shared" si="2"/>
        <v>Van Wyk</v>
      </c>
      <c r="J26" t="str">
        <f t="shared" si="3"/>
        <v>example.com</v>
      </c>
    </row>
    <row r="27" spans="1:10" x14ac:dyDescent="0.3">
      <c r="A27">
        <v>1015</v>
      </c>
      <c r="B27" t="s">
        <v>139</v>
      </c>
      <c r="C27" t="s">
        <v>142</v>
      </c>
      <c r="D27" t="s">
        <v>143</v>
      </c>
      <c r="E27" t="s">
        <v>8</v>
      </c>
      <c r="F27" t="str">
        <f t="shared" si="0"/>
        <v>John</v>
      </c>
      <c r="G27" t="str">
        <f t="shared" si="0"/>
        <v>Smith</v>
      </c>
      <c r="H27" t="str">
        <f t="shared" si="1"/>
        <v>John</v>
      </c>
      <c r="I27" t="str">
        <f t="shared" si="2"/>
        <v>Smith</v>
      </c>
      <c r="J27" t="str">
        <f t="shared" si="3"/>
        <v>example.com</v>
      </c>
    </row>
    <row r="28" spans="1:10" x14ac:dyDescent="0.3">
      <c r="A28">
        <v>1014</v>
      </c>
      <c r="B28" t="s">
        <v>139</v>
      </c>
      <c r="C28" t="s">
        <v>146</v>
      </c>
      <c r="D28" t="s">
        <v>147</v>
      </c>
      <c r="E28" t="s">
        <v>16</v>
      </c>
      <c r="F28" t="str">
        <f t="shared" si="0"/>
        <v>John</v>
      </c>
      <c r="G28" t="str">
        <f t="shared" si="0"/>
        <v>Mlambo</v>
      </c>
      <c r="H28" t="str">
        <f t="shared" si="1"/>
        <v>John</v>
      </c>
      <c r="I28" t="str">
        <f t="shared" si="2"/>
        <v>Mlambo</v>
      </c>
      <c r="J28" t="str">
        <f t="shared" si="3"/>
        <v>example.com</v>
      </c>
    </row>
    <row r="29" spans="1:10" x14ac:dyDescent="0.3">
      <c r="A29">
        <v>1018</v>
      </c>
      <c r="B29" t="s">
        <v>124</v>
      </c>
      <c r="C29" t="s">
        <v>146</v>
      </c>
      <c r="D29" t="s">
        <v>150</v>
      </c>
      <c r="E29" t="s">
        <v>8</v>
      </c>
      <c r="F29" t="str">
        <f t="shared" si="0"/>
        <v>Michael</v>
      </c>
      <c r="G29" t="str">
        <f t="shared" si="0"/>
        <v>Mlambo</v>
      </c>
      <c r="H29" t="str">
        <f t="shared" si="1"/>
        <v>Michael</v>
      </c>
      <c r="I29" t="str">
        <f t="shared" si="2"/>
        <v>Mlambo</v>
      </c>
      <c r="J29" t="str">
        <f t="shared" si="3"/>
        <v>example.com</v>
      </c>
    </row>
  </sheetData>
  <conditionalFormatting sqref="A2:J29">
    <cfRule type="expression" dxfId="1" priority="1">
      <formula>COUNTIF($D$2:$D$29,$D2)&gt;1</formula>
    </cfRule>
  </conditionalFormatting>
  <conditionalFormatting sqref="D2:D2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C5A6-8D85-4F77-ADDC-C84FC06E579F}">
  <dimension ref="A1:J91"/>
  <sheetViews>
    <sheetView tabSelected="1" workbookViewId="0">
      <selection activeCell="J6" sqref="J6"/>
    </sheetView>
  </sheetViews>
  <sheetFormatPr defaultRowHeight="14.4" x14ac:dyDescent="0.3"/>
  <cols>
    <col min="1" max="1" width="15.5546875" customWidth="1"/>
    <col min="2" max="2" width="19" style="1" customWidth="1"/>
    <col min="3" max="3" width="14.33203125" customWidth="1"/>
    <col min="4" max="4" width="17.44140625" customWidth="1"/>
    <col min="5" max="5" width="18.109375" customWidth="1"/>
    <col min="6" max="7" width="20.77734375" customWidth="1"/>
    <col min="8" max="8" width="14.88671875" customWidth="1"/>
    <col min="9" max="9" width="14.44140625" customWidth="1"/>
    <col min="10" max="10" width="16.88671875" customWidth="1"/>
  </cols>
  <sheetData>
    <row r="1" spans="1:10" ht="19.95" customHeight="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  <c r="I1" t="s">
        <v>162</v>
      </c>
      <c r="J1" t="s">
        <v>163</v>
      </c>
    </row>
    <row r="2" spans="1:10" x14ac:dyDescent="0.3">
      <c r="A2" t="s">
        <v>7</v>
      </c>
      <c r="B2" s="1">
        <v>45708.027094907404</v>
      </c>
      <c r="C2" t="s">
        <v>8</v>
      </c>
      <c r="D2">
        <v>1018</v>
      </c>
      <c r="E2" t="s">
        <v>9</v>
      </c>
      <c r="F2">
        <v>1</v>
      </c>
      <c r="G2">
        <v>730</v>
      </c>
      <c r="H2" t="str">
        <f>_xlfn.XLOOKUP(E2,tblProducts[Product],tblProducts[Category],"Not Found")</f>
        <v>Electronics</v>
      </c>
      <c r="I2">
        <f>_xlfn.XLOOKUP(E2,tblProducts[Product],tblProducts[UnitCost],"Not Found")</f>
        <v>492</v>
      </c>
      <c r="J2" s="3">
        <f>_xlfn.XLOOKUP(E2,tblProducts[Product],tblProducts[Discount],"Not Found")</f>
        <v>0.14000000000000001</v>
      </c>
    </row>
    <row r="3" spans="1:10" x14ac:dyDescent="0.3">
      <c r="A3" t="s">
        <v>10</v>
      </c>
      <c r="B3" s="1">
        <v>45712.236793981479</v>
      </c>
      <c r="C3" t="s">
        <v>8</v>
      </c>
      <c r="D3">
        <v>1004</v>
      </c>
      <c r="E3" t="s">
        <v>11</v>
      </c>
      <c r="F3">
        <v>3</v>
      </c>
      <c r="G3">
        <v>378</v>
      </c>
      <c r="H3" t="str">
        <f>_xlfn.XLOOKUP(E3,tblProducts[Product],tblProducts[Category],"Not Found")</f>
        <v>Accessories</v>
      </c>
      <c r="I3">
        <f>_xlfn.XLOOKUP(E3,tblProducts[Product],tblProducts[UnitCost],"Not Found")</f>
        <v>323</v>
      </c>
      <c r="J3" s="3">
        <f>_xlfn.XLOOKUP(E3,tblProducts[Product],tblProducts[Discount],"Not Found")</f>
        <v>0.1</v>
      </c>
    </row>
    <row r="4" spans="1:10" x14ac:dyDescent="0.3">
      <c r="A4" t="s">
        <v>12</v>
      </c>
      <c r="B4" s="1">
        <v>45736.268287037034</v>
      </c>
      <c r="C4" t="s">
        <v>13</v>
      </c>
      <c r="D4">
        <v>1005</v>
      </c>
      <c r="E4" t="s">
        <v>14</v>
      </c>
      <c r="F4">
        <v>1</v>
      </c>
      <c r="G4">
        <v>585</v>
      </c>
      <c r="H4" t="str">
        <f>_xlfn.XLOOKUP(E4,tblProducts[Product],tblProducts[Category],"Not Found")</f>
        <v>Electronics</v>
      </c>
      <c r="I4">
        <f>_xlfn.XLOOKUP(E4,tblProducts[Product],tblProducts[UnitCost],"Not Found")</f>
        <v>463</v>
      </c>
      <c r="J4" s="3">
        <f>_xlfn.XLOOKUP(E4,tblProducts[Product],tblProducts[Discount],"Not Found")</f>
        <v>0.23</v>
      </c>
    </row>
    <row r="5" spans="1:10" x14ac:dyDescent="0.3">
      <c r="A5" t="s">
        <v>15</v>
      </c>
      <c r="B5" s="1">
        <v>45703.571203703701</v>
      </c>
      <c r="C5" t="s">
        <v>16</v>
      </c>
      <c r="D5">
        <v>1018</v>
      </c>
      <c r="E5" t="s">
        <v>17</v>
      </c>
      <c r="F5">
        <v>8</v>
      </c>
      <c r="G5">
        <v>726</v>
      </c>
      <c r="H5" t="str">
        <f>_xlfn.XLOOKUP(E5,tblProducts[Product],tblProducts[Category],"Not Found")</f>
        <v>Electronics</v>
      </c>
      <c r="I5">
        <f>_xlfn.XLOOKUP(E5,tblProducts[Product],tblProducts[UnitCost],"Not Found")</f>
        <v>97</v>
      </c>
      <c r="J5" s="3">
        <f>_xlfn.XLOOKUP(E5,tblProducts[Product],tblProducts[Discount],"Not Found")</f>
        <v>0.08</v>
      </c>
    </row>
    <row r="6" spans="1:10" x14ac:dyDescent="0.3">
      <c r="A6" t="s">
        <v>18</v>
      </c>
      <c r="B6" s="1">
        <v>45663.685914351852</v>
      </c>
      <c r="C6" t="s">
        <v>19</v>
      </c>
      <c r="D6">
        <v>1012</v>
      </c>
      <c r="E6" t="s">
        <v>20</v>
      </c>
      <c r="F6">
        <v>2</v>
      </c>
      <c r="G6">
        <v>709</v>
      </c>
      <c r="H6" t="str">
        <f>_xlfn.XLOOKUP(E6,tblProducts[Product],tblProducts[Category],"Not Found")</f>
        <v>Electronics</v>
      </c>
      <c r="I6">
        <f>_xlfn.XLOOKUP(E6,tblProducts[Product],tblProducts[UnitCost],"Not Found")</f>
        <v>469</v>
      </c>
      <c r="J6" s="3">
        <f>_xlfn.XLOOKUP(E6,tblProducts[Product],tblProducts[Discount],"Not Found")</f>
        <v>0.22</v>
      </c>
    </row>
    <row r="7" spans="1:10" x14ac:dyDescent="0.3">
      <c r="A7" t="s">
        <v>21</v>
      </c>
      <c r="B7" s="1">
        <v>45716.226770833331</v>
      </c>
      <c r="C7" t="s">
        <v>16</v>
      </c>
      <c r="D7">
        <v>1013</v>
      </c>
      <c r="E7" t="s">
        <v>20</v>
      </c>
      <c r="F7">
        <v>8</v>
      </c>
      <c r="G7">
        <v>1817</v>
      </c>
      <c r="H7" t="str">
        <f>_xlfn.XLOOKUP(E7,tblProducts[Product],tblProducts[Category],"Not Found")</f>
        <v>Electronics</v>
      </c>
      <c r="I7">
        <f>_xlfn.XLOOKUP(E7,tblProducts[Product],tblProducts[UnitCost],"Not Found")</f>
        <v>469</v>
      </c>
      <c r="J7" s="3">
        <f>_xlfn.XLOOKUP(E7,tblProducts[Product],tblProducts[Discount],"Not Found")</f>
        <v>0.22</v>
      </c>
    </row>
    <row r="8" spans="1:10" x14ac:dyDescent="0.3">
      <c r="A8" t="s">
        <v>22</v>
      </c>
      <c r="B8" s="1">
        <v>45735.116423611114</v>
      </c>
      <c r="C8" t="s">
        <v>8</v>
      </c>
      <c r="D8">
        <v>1017</v>
      </c>
      <c r="E8" t="s">
        <v>9</v>
      </c>
      <c r="F8">
        <v>9</v>
      </c>
      <c r="G8">
        <v>1976</v>
      </c>
      <c r="H8" t="str">
        <f>_xlfn.XLOOKUP(E8,tblProducts[Product],tblProducts[Category],"Not Found")</f>
        <v>Electronics</v>
      </c>
      <c r="I8">
        <f>_xlfn.XLOOKUP(E8,tblProducts[Product],tblProducts[UnitCost],"Not Found")</f>
        <v>492</v>
      </c>
      <c r="J8" s="3">
        <f>_xlfn.XLOOKUP(E8,tblProducts[Product],tblProducts[Discount],"Not Found")</f>
        <v>0.14000000000000001</v>
      </c>
    </row>
    <row r="9" spans="1:10" x14ac:dyDescent="0.3">
      <c r="A9" t="s">
        <v>23</v>
      </c>
      <c r="B9" s="1">
        <v>45707.394131944442</v>
      </c>
      <c r="C9" t="s">
        <v>8</v>
      </c>
      <c r="D9">
        <v>1014</v>
      </c>
      <c r="E9" t="s">
        <v>9</v>
      </c>
      <c r="F9">
        <v>5</v>
      </c>
      <c r="G9">
        <v>1134</v>
      </c>
      <c r="H9" t="str">
        <f>_xlfn.XLOOKUP(E9,tblProducts[Product],tblProducts[Category],"Not Found")</f>
        <v>Electronics</v>
      </c>
      <c r="I9">
        <f>_xlfn.XLOOKUP(E9,tblProducts[Product],tblProducts[UnitCost],"Not Found")</f>
        <v>492</v>
      </c>
      <c r="J9" s="3">
        <f>_xlfn.XLOOKUP(E9,tblProducts[Product],tblProducts[Discount],"Not Found")</f>
        <v>0.14000000000000001</v>
      </c>
    </row>
    <row r="10" spans="1:10" x14ac:dyDescent="0.3">
      <c r="A10" t="s">
        <v>24</v>
      </c>
      <c r="B10" s="1">
        <v>45671.497210648151</v>
      </c>
      <c r="C10" t="s">
        <v>8</v>
      </c>
      <c r="D10">
        <v>1020</v>
      </c>
      <c r="E10" t="s">
        <v>25</v>
      </c>
      <c r="F10">
        <v>1</v>
      </c>
      <c r="G10">
        <v>1220</v>
      </c>
      <c r="H10" t="str">
        <f>_xlfn.XLOOKUP(E10,tblProducts[Product],tblProducts[Category],"Not Found")</f>
        <v>Office</v>
      </c>
      <c r="I10">
        <f>_xlfn.XLOOKUP(E10,tblProducts[Product],tblProducts[UnitCost],"Not Found")</f>
        <v>136</v>
      </c>
      <c r="J10" s="3">
        <f>_xlfn.XLOOKUP(E10,tblProducts[Product],tblProducts[Discount],"Not Found")</f>
        <v>0.1</v>
      </c>
    </row>
    <row r="11" spans="1:10" x14ac:dyDescent="0.3">
      <c r="A11" t="s">
        <v>26</v>
      </c>
      <c r="B11" s="1">
        <v>45743.202222222222</v>
      </c>
      <c r="C11" t="s">
        <v>13</v>
      </c>
      <c r="D11">
        <v>1010</v>
      </c>
      <c r="E11" t="s">
        <v>11</v>
      </c>
      <c r="F11">
        <v>2</v>
      </c>
      <c r="G11">
        <v>283</v>
      </c>
      <c r="H11" t="str">
        <f>_xlfn.XLOOKUP(E11,tblProducts[Product],tblProducts[Category],"Not Found")</f>
        <v>Accessories</v>
      </c>
      <c r="I11">
        <f>_xlfn.XLOOKUP(E11,tblProducts[Product],tblProducts[UnitCost],"Not Found")</f>
        <v>323</v>
      </c>
      <c r="J11" s="3">
        <f>_xlfn.XLOOKUP(E11,tblProducts[Product],tblProducts[Discount],"Not Found")</f>
        <v>0.1</v>
      </c>
    </row>
    <row r="12" spans="1:10" x14ac:dyDescent="0.3">
      <c r="A12" t="s">
        <v>27</v>
      </c>
      <c r="B12" s="1">
        <v>45684.929074074076</v>
      </c>
      <c r="C12" t="s">
        <v>13</v>
      </c>
      <c r="D12">
        <v>1019</v>
      </c>
      <c r="E12" t="s">
        <v>20</v>
      </c>
      <c r="F12">
        <v>9</v>
      </c>
      <c r="G12">
        <v>417</v>
      </c>
      <c r="H12" t="str">
        <f>_xlfn.XLOOKUP(E12,tblProducts[Product],tblProducts[Category],"Not Found")</f>
        <v>Electronics</v>
      </c>
      <c r="I12">
        <f>_xlfn.XLOOKUP(E12,tblProducts[Product],tblProducts[UnitCost],"Not Found")</f>
        <v>469</v>
      </c>
      <c r="J12" s="3">
        <f>_xlfn.XLOOKUP(E12,tblProducts[Product],tblProducts[Discount],"Not Found")</f>
        <v>0.22</v>
      </c>
    </row>
    <row r="13" spans="1:10" x14ac:dyDescent="0.3">
      <c r="A13" t="s">
        <v>28</v>
      </c>
      <c r="B13" s="1">
        <v>45662.789641203701</v>
      </c>
      <c r="C13" t="s">
        <v>8</v>
      </c>
      <c r="D13">
        <v>1016</v>
      </c>
      <c r="E13" t="s">
        <v>20</v>
      </c>
      <c r="F13">
        <v>3</v>
      </c>
      <c r="G13">
        <v>1692</v>
      </c>
      <c r="H13" t="str">
        <f>_xlfn.XLOOKUP(E13,tblProducts[Product],tblProducts[Category],"Not Found")</f>
        <v>Electronics</v>
      </c>
      <c r="I13">
        <f>_xlfn.XLOOKUP(E13,tblProducts[Product],tblProducts[UnitCost],"Not Found")</f>
        <v>469</v>
      </c>
      <c r="J13" s="3">
        <f>_xlfn.XLOOKUP(E13,tblProducts[Product],tblProducts[Discount],"Not Found")</f>
        <v>0.22</v>
      </c>
    </row>
    <row r="14" spans="1:10" x14ac:dyDescent="0.3">
      <c r="A14" t="s">
        <v>29</v>
      </c>
      <c r="B14" s="1">
        <v>45693.460138888891</v>
      </c>
      <c r="C14" t="s">
        <v>16</v>
      </c>
      <c r="D14">
        <v>1001</v>
      </c>
      <c r="E14" t="s">
        <v>25</v>
      </c>
      <c r="F14">
        <v>4</v>
      </c>
      <c r="G14">
        <v>1853</v>
      </c>
      <c r="H14" t="str">
        <f>_xlfn.XLOOKUP(E14,tblProducts[Product],tblProducts[Category],"Not Found")</f>
        <v>Office</v>
      </c>
      <c r="I14">
        <f>_xlfn.XLOOKUP(E14,tblProducts[Product],tblProducts[UnitCost],"Not Found")</f>
        <v>136</v>
      </c>
      <c r="J14" s="3">
        <f>_xlfn.XLOOKUP(E14,tblProducts[Product],tblProducts[Discount],"Not Found")</f>
        <v>0.1</v>
      </c>
    </row>
    <row r="15" spans="1:10" x14ac:dyDescent="0.3">
      <c r="A15" t="s">
        <v>30</v>
      </c>
      <c r="B15" s="1">
        <v>45717.254155092596</v>
      </c>
      <c r="C15" t="s">
        <v>8</v>
      </c>
      <c r="D15">
        <v>1005</v>
      </c>
      <c r="E15" t="s">
        <v>25</v>
      </c>
      <c r="F15">
        <v>2</v>
      </c>
      <c r="G15">
        <v>505</v>
      </c>
      <c r="H15" t="str">
        <f>_xlfn.XLOOKUP(E15,tblProducts[Product],tblProducts[Category],"Not Found")</f>
        <v>Office</v>
      </c>
      <c r="I15">
        <f>_xlfn.XLOOKUP(E15,tblProducts[Product],tblProducts[UnitCost],"Not Found")</f>
        <v>136</v>
      </c>
      <c r="J15" s="3">
        <f>_xlfn.XLOOKUP(E15,tblProducts[Product],tblProducts[Discount],"Not Found")</f>
        <v>0.1</v>
      </c>
    </row>
    <row r="16" spans="1:10" x14ac:dyDescent="0.3">
      <c r="A16" t="s">
        <v>31</v>
      </c>
      <c r="B16" s="1">
        <v>45672.072662037041</v>
      </c>
      <c r="C16" t="s">
        <v>8</v>
      </c>
      <c r="D16">
        <v>1016</v>
      </c>
      <c r="E16" t="s">
        <v>14</v>
      </c>
      <c r="F16">
        <v>3</v>
      </c>
      <c r="G16">
        <v>1355</v>
      </c>
      <c r="H16" t="str">
        <f>_xlfn.XLOOKUP(E16,tblProducts[Product],tblProducts[Category],"Not Found")</f>
        <v>Electronics</v>
      </c>
      <c r="I16">
        <f>_xlfn.XLOOKUP(E16,tblProducts[Product],tblProducts[UnitCost],"Not Found")</f>
        <v>463</v>
      </c>
      <c r="J16" s="3">
        <f>_xlfn.XLOOKUP(E16,tblProducts[Product],tblProducts[Discount],"Not Found")</f>
        <v>0.23</v>
      </c>
    </row>
    <row r="17" spans="1:10" x14ac:dyDescent="0.3">
      <c r="A17" t="s">
        <v>32</v>
      </c>
      <c r="B17" s="1">
        <v>45742.873171296298</v>
      </c>
      <c r="C17" t="s">
        <v>19</v>
      </c>
      <c r="D17">
        <v>1003</v>
      </c>
      <c r="E17" t="s">
        <v>25</v>
      </c>
      <c r="F17">
        <v>8</v>
      </c>
      <c r="G17">
        <v>1220</v>
      </c>
      <c r="H17" t="str">
        <f>_xlfn.XLOOKUP(E17,tblProducts[Product],tblProducts[Category],"Not Found")</f>
        <v>Office</v>
      </c>
      <c r="I17">
        <f>_xlfn.XLOOKUP(E17,tblProducts[Product],tblProducts[UnitCost],"Not Found")</f>
        <v>136</v>
      </c>
      <c r="J17" s="3">
        <f>_xlfn.XLOOKUP(E17,tblProducts[Product],tblProducts[Discount],"Not Found")</f>
        <v>0.1</v>
      </c>
    </row>
    <row r="18" spans="1:10" x14ac:dyDescent="0.3">
      <c r="A18" t="s">
        <v>33</v>
      </c>
      <c r="B18" s="1">
        <v>45688.213564814818</v>
      </c>
      <c r="C18" t="s">
        <v>19</v>
      </c>
      <c r="D18">
        <v>1008</v>
      </c>
      <c r="E18" t="s">
        <v>17</v>
      </c>
      <c r="F18">
        <v>3</v>
      </c>
      <c r="G18">
        <v>605</v>
      </c>
      <c r="H18" t="str">
        <f>_xlfn.XLOOKUP(E18,tblProducts[Product],tblProducts[Category],"Not Found")</f>
        <v>Electronics</v>
      </c>
      <c r="I18">
        <f>_xlfn.XLOOKUP(E18,tblProducts[Product],tblProducts[UnitCost],"Not Found")</f>
        <v>97</v>
      </c>
      <c r="J18" s="3">
        <f>_xlfn.XLOOKUP(E18,tblProducts[Product],tblProducts[Discount],"Not Found")</f>
        <v>0.08</v>
      </c>
    </row>
    <row r="19" spans="1:10" x14ac:dyDescent="0.3">
      <c r="A19" t="s">
        <v>34</v>
      </c>
      <c r="B19" s="1">
        <v>45718.933310185188</v>
      </c>
      <c r="C19" t="s">
        <v>8</v>
      </c>
      <c r="D19">
        <v>1009</v>
      </c>
      <c r="E19" t="s">
        <v>14</v>
      </c>
      <c r="F19">
        <v>7</v>
      </c>
      <c r="G19">
        <v>1149</v>
      </c>
      <c r="H19" t="str">
        <f>_xlfn.XLOOKUP(E19,tblProducts[Product],tblProducts[Category],"Not Found")</f>
        <v>Electronics</v>
      </c>
      <c r="I19">
        <f>_xlfn.XLOOKUP(E19,tblProducts[Product],tblProducts[UnitCost],"Not Found")</f>
        <v>463</v>
      </c>
      <c r="J19" s="3">
        <f>_xlfn.XLOOKUP(E19,tblProducts[Product],tblProducts[Discount],"Not Found")</f>
        <v>0.23</v>
      </c>
    </row>
    <row r="20" spans="1:10" x14ac:dyDescent="0.3">
      <c r="A20" t="s">
        <v>35</v>
      </c>
      <c r="B20" s="1">
        <v>45696.451539351852</v>
      </c>
      <c r="C20" t="s">
        <v>19</v>
      </c>
      <c r="D20">
        <v>1010</v>
      </c>
      <c r="E20" t="s">
        <v>11</v>
      </c>
      <c r="F20">
        <v>1</v>
      </c>
      <c r="G20">
        <v>1621</v>
      </c>
      <c r="H20" t="str">
        <f>_xlfn.XLOOKUP(E20,tblProducts[Product],tblProducts[Category],"Not Found")</f>
        <v>Accessories</v>
      </c>
      <c r="I20">
        <f>_xlfn.XLOOKUP(E20,tblProducts[Product],tblProducts[UnitCost],"Not Found")</f>
        <v>323</v>
      </c>
      <c r="J20" s="3">
        <f>_xlfn.XLOOKUP(E20,tblProducts[Product],tblProducts[Discount],"Not Found")</f>
        <v>0.1</v>
      </c>
    </row>
    <row r="21" spans="1:10" x14ac:dyDescent="0.3">
      <c r="A21" t="s">
        <v>36</v>
      </c>
      <c r="B21" s="1">
        <v>45738.816504629627</v>
      </c>
      <c r="C21" t="s">
        <v>19</v>
      </c>
      <c r="D21">
        <v>1004</v>
      </c>
      <c r="E21" t="s">
        <v>25</v>
      </c>
      <c r="F21">
        <v>3</v>
      </c>
      <c r="G21">
        <v>1010</v>
      </c>
      <c r="H21" t="str">
        <f>_xlfn.XLOOKUP(E21,tblProducts[Product],tblProducts[Category],"Not Found")</f>
        <v>Office</v>
      </c>
      <c r="I21">
        <f>_xlfn.XLOOKUP(E21,tblProducts[Product],tblProducts[UnitCost],"Not Found")</f>
        <v>136</v>
      </c>
      <c r="J21" s="3">
        <f>_xlfn.XLOOKUP(E21,tblProducts[Product],tblProducts[Discount],"Not Found")</f>
        <v>0.1</v>
      </c>
    </row>
    <row r="22" spans="1:10" x14ac:dyDescent="0.3">
      <c r="A22" t="s">
        <v>37</v>
      </c>
      <c r="B22" s="1">
        <v>45713.211342592593</v>
      </c>
      <c r="C22" t="s">
        <v>8</v>
      </c>
      <c r="D22">
        <v>1008</v>
      </c>
      <c r="E22" t="s">
        <v>11</v>
      </c>
      <c r="F22">
        <v>7</v>
      </c>
      <c r="G22">
        <v>241</v>
      </c>
      <c r="H22" t="str">
        <f>_xlfn.XLOOKUP(E22,tblProducts[Product],tblProducts[Category],"Not Found")</f>
        <v>Accessories</v>
      </c>
      <c r="I22">
        <f>_xlfn.XLOOKUP(E22,tblProducts[Product],tblProducts[UnitCost],"Not Found")</f>
        <v>323</v>
      </c>
      <c r="J22" s="3">
        <f>_xlfn.XLOOKUP(E22,tblProducts[Product],tblProducts[Discount],"Not Found")</f>
        <v>0.1</v>
      </c>
    </row>
    <row r="23" spans="1:10" x14ac:dyDescent="0.3">
      <c r="A23" t="s">
        <v>38</v>
      </c>
      <c r="B23" s="1">
        <v>45723.977905092594</v>
      </c>
      <c r="C23" t="s">
        <v>13</v>
      </c>
      <c r="D23">
        <v>1005</v>
      </c>
      <c r="E23" t="s">
        <v>25</v>
      </c>
      <c r="F23">
        <v>7</v>
      </c>
      <c r="G23">
        <v>1336</v>
      </c>
      <c r="H23" t="str">
        <f>_xlfn.XLOOKUP(E23,tblProducts[Product],tblProducts[Category],"Not Found")</f>
        <v>Office</v>
      </c>
      <c r="I23">
        <f>_xlfn.XLOOKUP(E23,tblProducts[Product],tblProducts[UnitCost],"Not Found")</f>
        <v>136</v>
      </c>
      <c r="J23" s="3">
        <f>_xlfn.XLOOKUP(E23,tblProducts[Product],tblProducts[Discount],"Not Found")</f>
        <v>0.1</v>
      </c>
    </row>
    <row r="24" spans="1:10" x14ac:dyDescent="0.3">
      <c r="A24" t="s">
        <v>39</v>
      </c>
      <c r="B24" s="1">
        <v>45662.648842592593</v>
      </c>
      <c r="C24" t="s">
        <v>13</v>
      </c>
      <c r="D24">
        <v>1006</v>
      </c>
      <c r="E24" t="s">
        <v>20</v>
      </c>
      <c r="F24">
        <v>3</v>
      </c>
      <c r="G24">
        <v>1752</v>
      </c>
      <c r="H24" t="str">
        <f>_xlfn.XLOOKUP(E24,tblProducts[Product],tblProducts[Category],"Not Found")</f>
        <v>Electronics</v>
      </c>
      <c r="I24">
        <f>_xlfn.XLOOKUP(E24,tblProducts[Product],tblProducts[UnitCost],"Not Found")</f>
        <v>469</v>
      </c>
      <c r="J24" s="3">
        <f>_xlfn.XLOOKUP(E24,tblProducts[Product],tblProducts[Discount],"Not Found")</f>
        <v>0.22</v>
      </c>
    </row>
    <row r="25" spans="1:10" x14ac:dyDescent="0.3">
      <c r="A25" t="s">
        <v>40</v>
      </c>
      <c r="B25" s="1">
        <v>45715.878263888888</v>
      </c>
      <c r="C25" t="s">
        <v>16</v>
      </c>
      <c r="D25">
        <v>1020</v>
      </c>
      <c r="E25" t="s">
        <v>11</v>
      </c>
      <c r="F25">
        <v>8</v>
      </c>
      <c r="G25">
        <v>911</v>
      </c>
      <c r="H25" t="str">
        <f>_xlfn.XLOOKUP(E25,tblProducts[Product],tblProducts[Category],"Not Found")</f>
        <v>Accessories</v>
      </c>
      <c r="I25">
        <f>_xlfn.XLOOKUP(E25,tblProducts[Product],tblProducts[UnitCost],"Not Found")</f>
        <v>323</v>
      </c>
      <c r="J25" s="3">
        <f>_xlfn.XLOOKUP(E25,tblProducts[Product],tblProducts[Discount],"Not Found")</f>
        <v>0.1</v>
      </c>
    </row>
    <row r="26" spans="1:10" x14ac:dyDescent="0.3">
      <c r="A26" t="s">
        <v>41</v>
      </c>
      <c r="B26" s="1">
        <v>45710.772175925929</v>
      </c>
      <c r="C26" t="s">
        <v>8</v>
      </c>
      <c r="D26">
        <v>1007</v>
      </c>
      <c r="E26" t="s">
        <v>14</v>
      </c>
      <c r="F26">
        <v>8</v>
      </c>
      <c r="G26">
        <v>1770</v>
      </c>
      <c r="H26" t="str">
        <f>_xlfn.XLOOKUP(E26,tblProducts[Product],tblProducts[Category],"Not Found")</f>
        <v>Electronics</v>
      </c>
      <c r="I26">
        <f>_xlfn.XLOOKUP(E26,tblProducts[Product],tblProducts[UnitCost],"Not Found")</f>
        <v>463</v>
      </c>
      <c r="J26" s="3">
        <f>_xlfn.XLOOKUP(E26,tblProducts[Product],tblProducts[Discount],"Not Found")</f>
        <v>0.23</v>
      </c>
    </row>
    <row r="27" spans="1:10" x14ac:dyDescent="0.3">
      <c r="A27" t="s">
        <v>42</v>
      </c>
      <c r="B27" s="1">
        <v>45660.179594907408</v>
      </c>
      <c r="C27" t="s">
        <v>19</v>
      </c>
      <c r="D27">
        <v>1009</v>
      </c>
      <c r="E27" t="s">
        <v>11</v>
      </c>
      <c r="F27">
        <v>1</v>
      </c>
      <c r="G27">
        <v>1841</v>
      </c>
      <c r="H27" t="str">
        <f>_xlfn.XLOOKUP(E27,tblProducts[Product],tblProducts[Category],"Not Found")</f>
        <v>Accessories</v>
      </c>
      <c r="I27">
        <f>_xlfn.XLOOKUP(E27,tblProducts[Product],tblProducts[UnitCost],"Not Found")</f>
        <v>323</v>
      </c>
      <c r="J27" s="3">
        <f>_xlfn.XLOOKUP(E27,tblProducts[Product],tblProducts[Discount],"Not Found")</f>
        <v>0.1</v>
      </c>
    </row>
    <row r="28" spans="1:10" x14ac:dyDescent="0.3">
      <c r="A28" t="s">
        <v>43</v>
      </c>
      <c r="B28" s="1">
        <v>45718.188310185185</v>
      </c>
      <c r="C28" t="s">
        <v>16</v>
      </c>
      <c r="D28">
        <v>1001</v>
      </c>
      <c r="E28" t="s">
        <v>14</v>
      </c>
      <c r="F28">
        <v>7</v>
      </c>
      <c r="G28">
        <v>796</v>
      </c>
      <c r="H28" t="str">
        <f>_xlfn.XLOOKUP(E28,tblProducts[Product],tblProducts[Category],"Not Found")</f>
        <v>Electronics</v>
      </c>
      <c r="I28">
        <f>_xlfn.XLOOKUP(E28,tblProducts[Product],tblProducts[UnitCost],"Not Found")</f>
        <v>463</v>
      </c>
      <c r="J28" s="3">
        <f>_xlfn.XLOOKUP(E28,tblProducts[Product],tblProducts[Discount],"Not Found")</f>
        <v>0.23</v>
      </c>
    </row>
    <row r="29" spans="1:10" x14ac:dyDescent="0.3">
      <c r="A29" t="s">
        <v>44</v>
      </c>
      <c r="B29" s="1">
        <v>45685.123541666668</v>
      </c>
      <c r="C29" t="s">
        <v>13</v>
      </c>
      <c r="D29">
        <v>1003</v>
      </c>
      <c r="E29" t="s">
        <v>14</v>
      </c>
      <c r="F29">
        <v>6</v>
      </c>
      <c r="G29">
        <v>1011</v>
      </c>
      <c r="H29" t="str">
        <f>_xlfn.XLOOKUP(E29,tblProducts[Product],tblProducts[Category],"Not Found")</f>
        <v>Electronics</v>
      </c>
      <c r="I29">
        <f>_xlfn.XLOOKUP(E29,tblProducts[Product],tblProducts[UnitCost],"Not Found")</f>
        <v>463</v>
      </c>
      <c r="J29" s="3">
        <f>_xlfn.XLOOKUP(E29,tblProducts[Product],tblProducts[Discount],"Not Found")</f>
        <v>0.23</v>
      </c>
    </row>
    <row r="30" spans="1:10" x14ac:dyDescent="0.3">
      <c r="A30" t="s">
        <v>45</v>
      </c>
      <c r="B30" s="1">
        <v>45722.085451388892</v>
      </c>
      <c r="C30" t="s">
        <v>13</v>
      </c>
      <c r="D30">
        <v>1011</v>
      </c>
      <c r="E30" t="s">
        <v>25</v>
      </c>
      <c r="F30">
        <v>2</v>
      </c>
      <c r="G30">
        <v>1660</v>
      </c>
      <c r="H30" t="str">
        <f>_xlfn.XLOOKUP(E30,tblProducts[Product],tblProducts[Category],"Not Found")</f>
        <v>Office</v>
      </c>
      <c r="I30">
        <f>_xlfn.XLOOKUP(E30,tblProducts[Product],tblProducts[UnitCost],"Not Found")</f>
        <v>136</v>
      </c>
      <c r="J30" s="3">
        <f>_xlfn.XLOOKUP(E30,tblProducts[Product],tblProducts[Discount],"Not Found")</f>
        <v>0.1</v>
      </c>
    </row>
    <row r="31" spans="1:10" x14ac:dyDescent="0.3">
      <c r="A31" t="s">
        <v>46</v>
      </c>
      <c r="B31" s="1">
        <v>45666.62767361111</v>
      </c>
      <c r="C31" t="s">
        <v>16</v>
      </c>
      <c r="D31">
        <v>1016</v>
      </c>
      <c r="E31" t="s">
        <v>14</v>
      </c>
      <c r="F31">
        <v>5</v>
      </c>
      <c r="G31">
        <v>1119</v>
      </c>
      <c r="H31" t="str">
        <f>_xlfn.XLOOKUP(E31,tblProducts[Product],tblProducts[Category],"Not Found")</f>
        <v>Electronics</v>
      </c>
      <c r="I31">
        <f>_xlfn.XLOOKUP(E31,tblProducts[Product],tblProducts[UnitCost],"Not Found")</f>
        <v>463</v>
      </c>
      <c r="J31" s="3">
        <f>_xlfn.XLOOKUP(E31,tblProducts[Product],tblProducts[Discount],"Not Found")</f>
        <v>0.23</v>
      </c>
    </row>
    <row r="32" spans="1:10" x14ac:dyDescent="0.3">
      <c r="A32" t="s">
        <v>47</v>
      </c>
      <c r="B32" s="1">
        <v>45770.271574074075</v>
      </c>
      <c r="C32" t="s">
        <v>19</v>
      </c>
      <c r="D32">
        <v>1016</v>
      </c>
      <c r="E32" t="s">
        <v>9</v>
      </c>
      <c r="F32">
        <v>7</v>
      </c>
      <c r="G32">
        <v>1039</v>
      </c>
      <c r="H32" t="str">
        <f>_xlfn.XLOOKUP(E32,tblProducts[Product],tblProducts[Category],"Not Found")</f>
        <v>Electronics</v>
      </c>
      <c r="I32">
        <f>_xlfn.XLOOKUP(E32,tblProducts[Product],tblProducts[UnitCost],"Not Found")</f>
        <v>492</v>
      </c>
      <c r="J32" s="3">
        <f>_xlfn.XLOOKUP(E32,tblProducts[Product],tblProducts[Discount],"Not Found")</f>
        <v>0.14000000000000001</v>
      </c>
    </row>
    <row r="33" spans="1:10" x14ac:dyDescent="0.3">
      <c r="A33" t="s">
        <v>48</v>
      </c>
      <c r="B33" s="1">
        <v>45821.985358796293</v>
      </c>
      <c r="C33" t="s">
        <v>13</v>
      </c>
      <c r="D33">
        <v>1010</v>
      </c>
      <c r="E33" t="s">
        <v>17</v>
      </c>
      <c r="F33">
        <v>2</v>
      </c>
      <c r="G33">
        <v>809</v>
      </c>
      <c r="H33" t="str">
        <f>_xlfn.XLOOKUP(E33,tblProducts[Product],tblProducts[Category],"Not Found")</f>
        <v>Electronics</v>
      </c>
      <c r="I33">
        <f>_xlfn.XLOOKUP(E33,tblProducts[Product],tblProducts[UnitCost],"Not Found")</f>
        <v>97</v>
      </c>
      <c r="J33" s="3">
        <f>_xlfn.XLOOKUP(E33,tblProducts[Product],tblProducts[Discount],"Not Found")</f>
        <v>0.08</v>
      </c>
    </row>
    <row r="34" spans="1:10" x14ac:dyDescent="0.3">
      <c r="A34" t="s">
        <v>49</v>
      </c>
      <c r="B34" s="1">
        <v>45774.624965277777</v>
      </c>
      <c r="C34" t="s">
        <v>13</v>
      </c>
      <c r="D34">
        <v>1014</v>
      </c>
      <c r="E34" t="s">
        <v>14</v>
      </c>
      <c r="F34">
        <v>5</v>
      </c>
      <c r="G34">
        <v>1951</v>
      </c>
      <c r="H34" t="str">
        <f>_xlfn.XLOOKUP(E34,tblProducts[Product],tblProducts[Category],"Not Found")</f>
        <v>Electronics</v>
      </c>
      <c r="I34">
        <f>_xlfn.XLOOKUP(E34,tblProducts[Product],tblProducts[UnitCost],"Not Found")</f>
        <v>463</v>
      </c>
      <c r="J34" s="3">
        <f>_xlfn.XLOOKUP(E34,tblProducts[Product],tblProducts[Discount],"Not Found")</f>
        <v>0.23</v>
      </c>
    </row>
    <row r="35" spans="1:10" x14ac:dyDescent="0.3">
      <c r="A35" t="s">
        <v>50</v>
      </c>
      <c r="B35" s="1">
        <v>45789.475810185184</v>
      </c>
      <c r="C35" t="s">
        <v>8</v>
      </c>
      <c r="D35">
        <v>1009</v>
      </c>
      <c r="E35" t="s">
        <v>17</v>
      </c>
      <c r="F35">
        <v>1</v>
      </c>
      <c r="G35">
        <v>1187</v>
      </c>
      <c r="H35" t="str">
        <f>_xlfn.XLOOKUP(E35,tblProducts[Product],tblProducts[Category],"Not Found")</f>
        <v>Electronics</v>
      </c>
      <c r="I35">
        <f>_xlfn.XLOOKUP(E35,tblProducts[Product],tblProducts[UnitCost],"Not Found")</f>
        <v>97</v>
      </c>
      <c r="J35" s="3">
        <f>_xlfn.XLOOKUP(E35,tblProducts[Product],tblProducts[Discount],"Not Found")</f>
        <v>0.08</v>
      </c>
    </row>
    <row r="36" spans="1:10" x14ac:dyDescent="0.3">
      <c r="A36" t="s">
        <v>51</v>
      </c>
      <c r="B36" s="1">
        <v>45771.114571759259</v>
      </c>
      <c r="C36" t="s">
        <v>19</v>
      </c>
      <c r="D36">
        <v>1018</v>
      </c>
      <c r="E36" t="s">
        <v>11</v>
      </c>
      <c r="F36">
        <v>9</v>
      </c>
      <c r="G36">
        <v>1259</v>
      </c>
      <c r="H36" t="str">
        <f>_xlfn.XLOOKUP(E36,tblProducts[Product],tblProducts[Category],"Not Found")</f>
        <v>Accessories</v>
      </c>
      <c r="I36">
        <f>_xlfn.XLOOKUP(E36,tblProducts[Product],tblProducts[UnitCost],"Not Found")</f>
        <v>323</v>
      </c>
      <c r="J36" s="3">
        <f>_xlfn.XLOOKUP(E36,tblProducts[Product],tblProducts[Discount],"Not Found")</f>
        <v>0.1</v>
      </c>
    </row>
    <row r="37" spans="1:10" x14ac:dyDescent="0.3">
      <c r="A37" t="s">
        <v>52</v>
      </c>
      <c r="B37" s="1">
        <v>45833.931319444448</v>
      </c>
      <c r="C37" t="s">
        <v>19</v>
      </c>
      <c r="D37">
        <v>1010</v>
      </c>
      <c r="E37" t="s">
        <v>14</v>
      </c>
      <c r="F37">
        <v>6</v>
      </c>
      <c r="G37">
        <v>1460</v>
      </c>
      <c r="H37" t="str">
        <f>_xlfn.XLOOKUP(E37,tblProducts[Product],tblProducts[Category],"Not Found")</f>
        <v>Electronics</v>
      </c>
      <c r="I37">
        <f>_xlfn.XLOOKUP(E37,tblProducts[Product],tblProducts[UnitCost],"Not Found")</f>
        <v>463</v>
      </c>
      <c r="J37" s="3">
        <f>_xlfn.XLOOKUP(E37,tblProducts[Product],tblProducts[Discount],"Not Found")</f>
        <v>0.23</v>
      </c>
    </row>
    <row r="38" spans="1:10" x14ac:dyDescent="0.3">
      <c r="A38" t="s">
        <v>53</v>
      </c>
      <c r="B38" s="1">
        <v>45766.59642361111</v>
      </c>
      <c r="C38" t="s">
        <v>16</v>
      </c>
      <c r="D38">
        <v>1010</v>
      </c>
      <c r="E38" t="s">
        <v>25</v>
      </c>
      <c r="F38">
        <v>5</v>
      </c>
      <c r="G38">
        <v>1485</v>
      </c>
      <c r="H38" t="str">
        <f>_xlfn.XLOOKUP(E38,tblProducts[Product],tblProducts[Category],"Not Found")</f>
        <v>Office</v>
      </c>
      <c r="I38">
        <f>_xlfn.XLOOKUP(E38,tblProducts[Product],tblProducts[UnitCost],"Not Found")</f>
        <v>136</v>
      </c>
      <c r="J38" s="3">
        <f>_xlfn.XLOOKUP(E38,tblProducts[Product],tblProducts[Discount],"Not Found")</f>
        <v>0.1</v>
      </c>
    </row>
    <row r="39" spans="1:10" x14ac:dyDescent="0.3">
      <c r="A39" t="s">
        <v>54</v>
      </c>
      <c r="B39" s="1">
        <v>45770.167129629626</v>
      </c>
      <c r="C39" t="s">
        <v>16</v>
      </c>
      <c r="D39">
        <v>1015</v>
      </c>
      <c r="E39" t="s">
        <v>17</v>
      </c>
      <c r="F39">
        <v>3</v>
      </c>
      <c r="G39">
        <v>1472</v>
      </c>
      <c r="H39" t="str">
        <f>_xlfn.XLOOKUP(E39,tblProducts[Product],tblProducts[Category],"Not Found")</f>
        <v>Electronics</v>
      </c>
      <c r="I39">
        <f>_xlfn.XLOOKUP(E39,tblProducts[Product],tblProducts[UnitCost],"Not Found")</f>
        <v>97</v>
      </c>
      <c r="J39" s="3">
        <f>_xlfn.XLOOKUP(E39,tblProducts[Product],tblProducts[Discount],"Not Found")</f>
        <v>0.08</v>
      </c>
    </row>
    <row r="40" spans="1:10" x14ac:dyDescent="0.3">
      <c r="A40" t="s">
        <v>55</v>
      </c>
      <c r="B40" s="1">
        <v>45759.131932870368</v>
      </c>
      <c r="C40" t="s">
        <v>13</v>
      </c>
      <c r="D40">
        <v>1020</v>
      </c>
      <c r="E40" t="s">
        <v>20</v>
      </c>
      <c r="F40">
        <v>8</v>
      </c>
      <c r="G40">
        <v>1331</v>
      </c>
      <c r="H40" t="str">
        <f>_xlfn.XLOOKUP(E40,tblProducts[Product],tblProducts[Category],"Not Found")</f>
        <v>Electronics</v>
      </c>
      <c r="I40">
        <f>_xlfn.XLOOKUP(E40,tblProducts[Product],tblProducts[UnitCost],"Not Found")</f>
        <v>469</v>
      </c>
      <c r="J40" s="3">
        <f>_xlfn.XLOOKUP(E40,tblProducts[Product],tblProducts[Discount],"Not Found")</f>
        <v>0.22</v>
      </c>
    </row>
    <row r="41" spans="1:10" x14ac:dyDescent="0.3">
      <c r="A41" t="s">
        <v>56</v>
      </c>
      <c r="B41" s="1">
        <v>45760.760393518518</v>
      </c>
      <c r="C41" t="s">
        <v>13</v>
      </c>
      <c r="D41">
        <v>1001</v>
      </c>
      <c r="E41" t="s">
        <v>17</v>
      </c>
      <c r="F41">
        <v>2</v>
      </c>
      <c r="G41">
        <v>222</v>
      </c>
      <c r="H41" t="str">
        <f>_xlfn.XLOOKUP(E41,tblProducts[Product],tblProducts[Category],"Not Found")</f>
        <v>Electronics</v>
      </c>
      <c r="I41">
        <f>_xlfn.XLOOKUP(E41,tblProducts[Product],tblProducts[UnitCost],"Not Found")</f>
        <v>97</v>
      </c>
      <c r="J41" s="3">
        <f>_xlfn.XLOOKUP(E41,tblProducts[Product],tblProducts[Discount],"Not Found")</f>
        <v>0.08</v>
      </c>
    </row>
    <row r="42" spans="1:10" x14ac:dyDescent="0.3">
      <c r="A42" t="s">
        <v>57</v>
      </c>
      <c r="B42" s="1">
        <v>45754.452418981484</v>
      </c>
      <c r="C42" t="s">
        <v>8</v>
      </c>
      <c r="D42">
        <v>1012</v>
      </c>
      <c r="E42" t="s">
        <v>11</v>
      </c>
      <c r="F42">
        <v>3</v>
      </c>
      <c r="G42">
        <v>1781</v>
      </c>
      <c r="H42" t="str">
        <f>_xlfn.XLOOKUP(E42,tblProducts[Product],tblProducts[Category],"Not Found")</f>
        <v>Accessories</v>
      </c>
      <c r="I42">
        <f>_xlfn.XLOOKUP(E42,tblProducts[Product],tblProducts[UnitCost],"Not Found")</f>
        <v>323</v>
      </c>
      <c r="J42" s="3">
        <f>_xlfn.XLOOKUP(E42,tblProducts[Product],tblProducts[Discount],"Not Found")</f>
        <v>0.1</v>
      </c>
    </row>
    <row r="43" spans="1:10" x14ac:dyDescent="0.3">
      <c r="A43" t="s">
        <v>58</v>
      </c>
      <c r="B43" s="1">
        <v>45823.740358796298</v>
      </c>
      <c r="C43" t="s">
        <v>13</v>
      </c>
      <c r="D43">
        <v>1001</v>
      </c>
      <c r="E43" t="s">
        <v>11</v>
      </c>
      <c r="F43">
        <v>2</v>
      </c>
      <c r="G43">
        <v>1545</v>
      </c>
      <c r="H43" t="str">
        <f>_xlfn.XLOOKUP(E43,tblProducts[Product],tblProducts[Category],"Not Found")</f>
        <v>Accessories</v>
      </c>
      <c r="I43">
        <f>_xlfn.XLOOKUP(E43,tblProducts[Product],tblProducts[UnitCost],"Not Found")</f>
        <v>323</v>
      </c>
      <c r="J43" s="3">
        <f>_xlfn.XLOOKUP(E43,tblProducts[Product],tblProducts[Discount],"Not Found")</f>
        <v>0.1</v>
      </c>
    </row>
    <row r="44" spans="1:10" x14ac:dyDescent="0.3">
      <c r="A44" t="s">
        <v>59</v>
      </c>
      <c r="B44" s="1">
        <v>45827.390497685185</v>
      </c>
      <c r="C44" t="s">
        <v>16</v>
      </c>
      <c r="D44">
        <v>1019</v>
      </c>
      <c r="E44" t="s">
        <v>20</v>
      </c>
      <c r="F44">
        <v>1</v>
      </c>
      <c r="G44">
        <v>1437</v>
      </c>
      <c r="H44" t="str">
        <f>_xlfn.XLOOKUP(E44,tblProducts[Product],tblProducts[Category],"Not Found")</f>
        <v>Electronics</v>
      </c>
      <c r="I44">
        <f>_xlfn.XLOOKUP(E44,tblProducts[Product],tblProducts[UnitCost],"Not Found")</f>
        <v>469</v>
      </c>
      <c r="J44" s="3">
        <f>_xlfn.XLOOKUP(E44,tblProducts[Product],tblProducts[Discount],"Not Found")</f>
        <v>0.22</v>
      </c>
    </row>
    <row r="45" spans="1:10" x14ac:dyDescent="0.3">
      <c r="A45" t="s">
        <v>60</v>
      </c>
      <c r="B45" s="1">
        <v>45754.479502314818</v>
      </c>
      <c r="C45" t="s">
        <v>19</v>
      </c>
      <c r="D45">
        <v>1009</v>
      </c>
      <c r="E45" t="s">
        <v>20</v>
      </c>
      <c r="F45">
        <v>8</v>
      </c>
      <c r="G45">
        <v>1539</v>
      </c>
      <c r="H45" t="str">
        <f>_xlfn.XLOOKUP(E45,tblProducts[Product],tblProducts[Category],"Not Found")</f>
        <v>Electronics</v>
      </c>
      <c r="I45">
        <f>_xlfn.XLOOKUP(E45,tblProducts[Product],tblProducts[UnitCost],"Not Found")</f>
        <v>469</v>
      </c>
      <c r="J45" s="3">
        <f>_xlfn.XLOOKUP(E45,tblProducts[Product],tblProducts[Discount],"Not Found")</f>
        <v>0.22</v>
      </c>
    </row>
    <row r="46" spans="1:10" x14ac:dyDescent="0.3">
      <c r="A46" t="s">
        <v>61</v>
      </c>
      <c r="B46" s="1">
        <v>45788.261284722219</v>
      </c>
      <c r="C46" t="s">
        <v>19</v>
      </c>
      <c r="D46">
        <v>1013</v>
      </c>
      <c r="E46" t="s">
        <v>25</v>
      </c>
      <c r="F46">
        <v>2</v>
      </c>
      <c r="G46">
        <v>1414</v>
      </c>
      <c r="H46" t="str">
        <f>_xlfn.XLOOKUP(E46,tblProducts[Product],tblProducts[Category],"Not Found")</f>
        <v>Office</v>
      </c>
      <c r="I46">
        <f>_xlfn.XLOOKUP(E46,tblProducts[Product],tblProducts[UnitCost],"Not Found")</f>
        <v>136</v>
      </c>
      <c r="J46" s="3">
        <f>_xlfn.XLOOKUP(E46,tblProducts[Product],tblProducts[Discount],"Not Found")</f>
        <v>0.1</v>
      </c>
    </row>
    <row r="47" spans="1:10" x14ac:dyDescent="0.3">
      <c r="A47" t="s">
        <v>62</v>
      </c>
      <c r="B47" s="1">
        <v>45789.088136574072</v>
      </c>
      <c r="C47" t="s">
        <v>16</v>
      </c>
      <c r="D47">
        <v>1011</v>
      </c>
      <c r="E47" t="s">
        <v>11</v>
      </c>
      <c r="F47">
        <v>9</v>
      </c>
      <c r="G47">
        <v>1076</v>
      </c>
      <c r="H47" t="str">
        <f>_xlfn.XLOOKUP(E47,tblProducts[Product],tblProducts[Category],"Not Found")</f>
        <v>Accessories</v>
      </c>
      <c r="I47">
        <f>_xlfn.XLOOKUP(E47,tblProducts[Product],tblProducts[UnitCost],"Not Found")</f>
        <v>323</v>
      </c>
      <c r="J47" s="3">
        <f>_xlfn.XLOOKUP(E47,tblProducts[Product],tblProducts[Discount],"Not Found")</f>
        <v>0.1</v>
      </c>
    </row>
    <row r="48" spans="1:10" x14ac:dyDescent="0.3">
      <c r="A48" t="s">
        <v>63</v>
      </c>
      <c r="B48" s="1">
        <v>45787.813692129632</v>
      </c>
      <c r="C48" t="s">
        <v>19</v>
      </c>
      <c r="D48">
        <v>1009</v>
      </c>
      <c r="E48" t="s">
        <v>25</v>
      </c>
      <c r="F48">
        <v>1</v>
      </c>
      <c r="G48">
        <v>398</v>
      </c>
      <c r="H48" t="str">
        <f>_xlfn.XLOOKUP(E48,tblProducts[Product],tblProducts[Category],"Not Found")</f>
        <v>Office</v>
      </c>
      <c r="I48">
        <f>_xlfn.XLOOKUP(E48,tblProducts[Product],tblProducts[UnitCost],"Not Found")</f>
        <v>136</v>
      </c>
      <c r="J48" s="3">
        <f>_xlfn.XLOOKUP(E48,tblProducts[Product],tblProducts[Discount],"Not Found")</f>
        <v>0.1</v>
      </c>
    </row>
    <row r="49" spans="1:10" x14ac:dyDescent="0.3">
      <c r="A49" t="s">
        <v>64</v>
      </c>
      <c r="B49" s="1">
        <v>45807.765486111108</v>
      </c>
      <c r="C49" t="s">
        <v>16</v>
      </c>
      <c r="D49">
        <v>1003</v>
      </c>
      <c r="E49" t="s">
        <v>11</v>
      </c>
      <c r="F49">
        <v>8</v>
      </c>
      <c r="G49">
        <v>1684</v>
      </c>
      <c r="H49" t="str">
        <f>_xlfn.XLOOKUP(E49,tblProducts[Product],tblProducts[Category],"Not Found")</f>
        <v>Accessories</v>
      </c>
      <c r="I49">
        <f>_xlfn.XLOOKUP(E49,tblProducts[Product],tblProducts[UnitCost],"Not Found")</f>
        <v>323</v>
      </c>
      <c r="J49" s="3">
        <f>_xlfn.XLOOKUP(E49,tblProducts[Product],tblProducts[Discount],"Not Found")</f>
        <v>0.1</v>
      </c>
    </row>
    <row r="50" spans="1:10" x14ac:dyDescent="0.3">
      <c r="A50" t="s">
        <v>65</v>
      </c>
      <c r="B50" s="1">
        <v>45749.992546296293</v>
      </c>
      <c r="C50" t="s">
        <v>19</v>
      </c>
      <c r="D50">
        <v>1010</v>
      </c>
      <c r="E50" t="s">
        <v>25</v>
      </c>
      <c r="F50">
        <v>1</v>
      </c>
      <c r="G50">
        <v>648</v>
      </c>
      <c r="H50" t="str">
        <f>_xlfn.XLOOKUP(E50,tblProducts[Product],tblProducts[Category],"Not Found")</f>
        <v>Office</v>
      </c>
      <c r="I50">
        <f>_xlfn.XLOOKUP(E50,tblProducts[Product],tblProducts[UnitCost],"Not Found")</f>
        <v>136</v>
      </c>
      <c r="J50" s="3">
        <f>_xlfn.XLOOKUP(E50,tblProducts[Product],tblProducts[Discount],"Not Found")</f>
        <v>0.1</v>
      </c>
    </row>
    <row r="51" spans="1:10" x14ac:dyDescent="0.3">
      <c r="A51" t="s">
        <v>66</v>
      </c>
      <c r="B51" s="1">
        <v>45816.867118055554</v>
      </c>
      <c r="C51" t="s">
        <v>16</v>
      </c>
      <c r="D51">
        <v>1006</v>
      </c>
      <c r="E51" t="s">
        <v>20</v>
      </c>
      <c r="F51">
        <v>6</v>
      </c>
      <c r="G51">
        <v>634</v>
      </c>
      <c r="H51" t="str">
        <f>_xlfn.XLOOKUP(E51,tblProducts[Product],tblProducts[Category],"Not Found")</f>
        <v>Electronics</v>
      </c>
      <c r="I51">
        <f>_xlfn.XLOOKUP(E51,tblProducts[Product],tblProducts[UnitCost],"Not Found")</f>
        <v>469</v>
      </c>
      <c r="J51" s="3">
        <f>_xlfn.XLOOKUP(E51,tblProducts[Product],tblProducts[Discount],"Not Found")</f>
        <v>0.22</v>
      </c>
    </row>
    <row r="52" spans="1:10" x14ac:dyDescent="0.3">
      <c r="A52" t="s">
        <v>67</v>
      </c>
      <c r="B52" s="1">
        <v>45835.860034722224</v>
      </c>
      <c r="C52" t="s">
        <v>13</v>
      </c>
      <c r="D52">
        <v>1007</v>
      </c>
      <c r="E52" t="s">
        <v>20</v>
      </c>
      <c r="F52">
        <v>3</v>
      </c>
      <c r="G52">
        <v>119</v>
      </c>
      <c r="H52" t="str">
        <f>_xlfn.XLOOKUP(E52,tblProducts[Product],tblProducts[Category],"Not Found")</f>
        <v>Electronics</v>
      </c>
      <c r="I52">
        <f>_xlfn.XLOOKUP(E52,tblProducts[Product],tblProducts[UnitCost],"Not Found")</f>
        <v>469</v>
      </c>
      <c r="J52" s="3">
        <f>_xlfn.XLOOKUP(E52,tblProducts[Product],tblProducts[Discount],"Not Found")</f>
        <v>0.22</v>
      </c>
    </row>
    <row r="53" spans="1:10" x14ac:dyDescent="0.3">
      <c r="A53" t="s">
        <v>68</v>
      </c>
      <c r="B53" s="1">
        <v>45773.565625000003</v>
      </c>
      <c r="C53" t="s">
        <v>13</v>
      </c>
      <c r="D53">
        <v>1007</v>
      </c>
      <c r="E53" t="s">
        <v>17</v>
      </c>
      <c r="F53">
        <v>6</v>
      </c>
      <c r="G53">
        <v>1219</v>
      </c>
      <c r="H53" t="str">
        <f>_xlfn.XLOOKUP(E53,tblProducts[Product],tblProducts[Category],"Not Found")</f>
        <v>Electronics</v>
      </c>
      <c r="I53">
        <f>_xlfn.XLOOKUP(E53,tblProducts[Product],tblProducts[UnitCost],"Not Found")</f>
        <v>97</v>
      </c>
      <c r="J53" s="3">
        <f>_xlfn.XLOOKUP(E53,tblProducts[Product],tblProducts[Discount],"Not Found")</f>
        <v>0.08</v>
      </c>
    </row>
    <row r="54" spans="1:10" x14ac:dyDescent="0.3">
      <c r="A54" t="s">
        <v>69</v>
      </c>
      <c r="B54" s="1">
        <v>45790.724930555552</v>
      </c>
      <c r="C54" t="s">
        <v>8</v>
      </c>
      <c r="D54">
        <v>1020</v>
      </c>
      <c r="E54" t="s">
        <v>25</v>
      </c>
      <c r="F54">
        <v>2</v>
      </c>
      <c r="G54">
        <v>1169</v>
      </c>
      <c r="H54" t="str">
        <f>_xlfn.XLOOKUP(E54,tblProducts[Product],tblProducts[Category],"Not Found")</f>
        <v>Office</v>
      </c>
      <c r="I54">
        <f>_xlfn.XLOOKUP(E54,tblProducts[Product],tblProducts[UnitCost],"Not Found")</f>
        <v>136</v>
      </c>
      <c r="J54" s="3">
        <f>_xlfn.XLOOKUP(E54,tblProducts[Product],tblProducts[Discount],"Not Found")</f>
        <v>0.1</v>
      </c>
    </row>
    <row r="55" spans="1:10" x14ac:dyDescent="0.3">
      <c r="A55" t="s">
        <v>70</v>
      </c>
      <c r="B55" s="1">
        <v>45790.060497685183</v>
      </c>
      <c r="C55" t="s">
        <v>13</v>
      </c>
      <c r="D55">
        <v>1019</v>
      </c>
      <c r="E55" t="s">
        <v>11</v>
      </c>
      <c r="F55">
        <v>4</v>
      </c>
      <c r="G55">
        <v>1964</v>
      </c>
      <c r="H55" t="str">
        <f>_xlfn.XLOOKUP(E55,tblProducts[Product],tblProducts[Category],"Not Found")</f>
        <v>Accessories</v>
      </c>
      <c r="I55">
        <f>_xlfn.XLOOKUP(E55,tblProducts[Product],tblProducts[UnitCost],"Not Found")</f>
        <v>323</v>
      </c>
      <c r="J55" s="3">
        <f>_xlfn.XLOOKUP(E55,tblProducts[Product],tblProducts[Discount],"Not Found")</f>
        <v>0.1</v>
      </c>
    </row>
    <row r="56" spans="1:10" x14ac:dyDescent="0.3">
      <c r="A56" t="s">
        <v>71</v>
      </c>
      <c r="B56" s="1">
        <v>45797.920590277776</v>
      </c>
      <c r="C56" t="s">
        <v>13</v>
      </c>
      <c r="D56">
        <v>1002</v>
      </c>
      <c r="E56" t="s">
        <v>9</v>
      </c>
      <c r="F56">
        <v>4</v>
      </c>
      <c r="G56">
        <v>1929</v>
      </c>
      <c r="H56" t="str">
        <f>_xlfn.XLOOKUP(E56,tblProducts[Product],tblProducts[Category],"Not Found")</f>
        <v>Electronics</v>
      </c>
      <c r="I56">
        <f>_xlfn.XLOOKUP(E56,tblProducts[Product],tblProducts[UnitCost],"Not Found")</f>
        <v>492</v>
      </c>
      <c r="J56" s="3">
        <f>_xlfn.XLOOKUP(E56,tblProducts[Product],tblProducts[Discount],"Not Found")</f>
        <v>0.14000000000000001</v>
      </c>
    </row>
    <row r="57" spans="1:10" x14ac:dyDescent="0.3">
      <c r="A57" t="s">
        <v>72</v>
      </c>
      <c r="B57" s="1">
        <v>45756.893043981479</v>
      </c>
      <c r="C57" t="s">
        <v>16</v>
      </c>
      <c r="D57">
        <v>1005</v>
      </c>
      <c r="E57" t="s">
        <v>25</v>
      </c>
      <c r="F57">
        <v>2</v>
      </c>
      <c r="G57">
        <v>109</v>
      </c>
      <c r="H57" t="str">
        <f>_xlfn.XLOOKUP(E57,tblProducts[Product],tblProducts[Category],"Not Found")</f>
        <v>Office</v>
      </c>
      <c r="I57">
        <f>_xlfn.XLOOKUP(E57,tblProducts[Product],tblProducts[UnitCost],"Not Found")</f>
        <v>136</v>
      </c>
      <c r="J57" s="3">
        <f>_xlfn.XLOOKUP(E57,tblProducts[Product],tblProducts[Discount],"Not Found")</f>
        <v>0.1</v>
      </c>
    </row>
    <row r="58" spans="1:10" x14ac:dyDescent="0.3">
      <c r="A58" t="s">
        <v>73</v>
      </c>
      <c r="B58" s="1">
        <v>45782.080439814818</v>
      </c>
      <c r="C58" t="s">
        <v>19</v>
      </c>
      <c r="D58">
        <v>1009</v>
      </c>
      <c r="E58" t="s">
        <v>17</v>
      </c>
      <c r="F58">
        <v>9</v>
      </c>
      <c r="G58">
        <v>249</v>
      </c>
      <c r="H58" t="str">
        <f>_xlfn.XLOOKUP(E58,tblProducts[Product],tblProducts[Category],"Not Found")</f>
        <v>Electronics</v>
      </c>
      <c r="I58">
        <f>_xlfn.XLOOKUP(E58,tblProducts[Product],tblProducts[UnitCost],"Not Found")</f>
        <v>97</v>
      </c>
      <c r="J58" s="3">
        <f>_xlfn.XLOOKUP(E58,tblProducts[Product],tblProducts[Discount],"Not Found")</f>
        <v>0.08</v>
      </c>
    </row>
    <row r="59" spans="1:10" x14ac:dyDescent="0.3">
      <c r="A59" t="s">
        <v>74</v>
      </c>
      <c r="B59" s="1">
        <v>45770.850115740737</v>
      </c>
      <c r="C59" t="s">
        <v>16</v>
      </c>
      <c r="D59">
        <v>1018</v>
      </c>
      <c r="E59" t="s">
        <v>11</v>
      </c>
      <c r="F59">
        <v>7</v>
      </c>
      <c r="G59">
        <v>520</v>
      </c>
      <c r="H59" t="str">
        <f>_xlfn.XLOOKUP(E59,tblProducts[Product],tblProducts[Category],"Not Found")</f>
        <v>Accessories</v>
      </c>
      <c r="I59">
        <f>_xlfn.XLOOKUP(E59,tblProducts[Product],tblProducts[UnitCost],"Not Found")</f>
        <v>323</v>
      </c>
      <c r="J59" s="3">
        <f>_xlfn.XLOOKUP(E59,tblProducts[Product],tblProducts[Discount],"Not Found")</f>
        <v>0.1</v>
      </c>
    </row>
    <row r="60" spans="1:10" x14ac:dyDescent="0.3">
      <c r="A60" t="s">
        <v>75</v>
      </c>
      <c r="B60" s="1">
        <v>45811.899641203701</v>
      </c>
      <c r="C60" t="s">
        <v>8</v>
      </c>
      <c r="D60">
        <v>1007</v>
      </c>
      <c r="E60" t="s">
        <v>14</v>
      </c>
      <c r="F60">
        <v>9</v>
      </c>
      <c r="G60">
        <v>854</v>
      </c>
      <c r="H60" t="str">
        <f>_xlfn.XLOOKUP(E60,tblProducts[Product],tblProducts[Category],"Not Found")</f>
        <v>Electronics</v>
      </c>
      <c r="I60">
        <f>_xlfn.XLOOKUP(E60,tblProducts[Product],tblProducts[UnitCost],"Not Found")</f>
        <v>463</v>
      </c>
      <c r="J60" s="3">
        <f>_xlfn.XLOOKUP(E60,tblProducts[Product],tblProducts[Discount],"Not Found")</f>
        <v>0.23</v>
      </c>
    </row>
    <row r="61" spans="1:10" x14ac:dyDescent="0.3">
      <c r="A61" t="s">
        <v>76</v>
      </c>
      <c r="B61" s="1">
        <v>45752.782893518517</v>
      </c>
      <c r="C61" t="s">
        <v>16</v>
      </c>
      <c r="D61">
        <v>1006</v>
      </c>
      <c r="E61" t="s">
        <v>11</v>
      </c>
      <c r="F61">
        <v>2</v>
      </c>
      <c r="G61">
        <v>1035</v>
      </c>
      <c r="H61" t="str">
        <f>_xlfn.XLOOKUP(E61,tblProducts[Product],tblProducts[Category],"Not Found")</f>
        <v>Accessories</v>
      </c>
      <c r="I61">
        <f>_xlfn.XLOOKUP(E61,tblProducts[Product],tblProducts[UnitCost],"Not Found")</f>
        <v>323</v>
      </c>
      <c r="J61" s="3">
        <f>_xlfn.XLOOKUP(E61,tblProducts[Product],tblProducts[Discount],"Not Found")</f>
        <v>0.1</v>
      </c>
    </row>
    <row r="62" spans="1:10" x14ac:dyDescent="0.3">
      <c r="A62" t="s">
        <v>77</v>
      </c>
      <c r="B62" s="1">
        <v>45839.827893518515</v>
      </c>
      <c r="C62" t="s">
        <v>19</v>
      </c>
      <c r="D62">
        <v>1001</v>
      </c>
      <c r="E62" t="s">
        <v>14</v>
      </c>
      <c r="F62">
        <v>4</v>
      </c>
      <c r="G62">
        <v>160</v>
      </c>
      <c r="H62" t="str">
        <f>_xlfn.XLOOKUP(E62,tblProducts[Product],tblProducts[Category],"Not Found")</f>
        <v>Electronics</v>
      </c>
      <c r="I62">
        <f>_xlfn.XLOOKUP(E62,tblProducts[Product],tblProducts[UnitCost],"Not Found")</f>
        <v>463</v>
      </c>
      <c r="J62" s="3">
        <f>_xlfn.XLOOKUP(E62,tblProducts[Product],tblProducts[Discount],"Not Found")</f>
        <v>0.23</v>
      </c>
    </row>
    <row r="63" spans="1:10" x14ac:dyDescent="0.3">
      <c r="A63" t="s">
        <v>78</v>
      </c>
      <c r="B63" s="1">
        <v>45859.499537037038</v>
      </c>
      <c r="C63" t="s">
        <v>8</v>
      </c>
      <c r="D63">
        <v>1001</v>
      </c>
      <c r="E63" t="s">
        <v>14</v>
      </c>
      <c r="F63">
        <v>1</v>
      </c>
      <c r="G63">
        <v>233</v>
      </c>
      <c r="H63" t="str">
        <f>_xlfn.XLOOKUP(E63,tblProducts[Product],tblProducts[Category],"Not Found")</f>
        <v>Electronics</v>
      </c>
      <c r="I63">
        <f>_xlfn.XLOOKUP(E63,tblProducts[Product],tblProducts[UnitCost],"Not Found")</f>
        <v>463</v>
      </c>
      <c r="J63" s="3">
        <f>_xlfn.XLOOKUP(E63,tblProducts[Product],tblProducts[Discount],"Not Found")</f>
        <v>0.23</v>
      </c>
    </row>
    <row r="64" spans="1:10" x14ac:dyDescent="0.3">
      <c r="A64" t="s">
        <v>79</v>
      </c>
      <c r="B64" s="1">
        <v>45894.505104166667</v>
      </c>
      <c r="C64" t="s">
        <v>13</v>
      </c>
      <c r="D64">
        <v>1010</v>
      </c>
      <c r="E64" t="s">
        <v>17</v>
      </c>
      <c r="F64">
        <v>9</v>
      </c>
      <c r="G64">
        <v>312</v>
      </c>
      <c r="H64" t="str">
        <f>_xlfn.XLOOKUP(E64,tblProducts[Product],tblProducts[Category],"Not Found")</f>
        <v>Electronics</v>
      </c>
      <c r="I64">
        <f>_xlfn.XLOOKUP(E64,tblProducts[Product],tblProducts[UnitCost],"Not Found")</f>
        <v>97</v>
      </c>
      <c r="J64" s="3">
        <f>_xlfn.XLOOKUP(E64,tblProducts[Product],tblProducts[Discount],"Not Found")</f>
        <v>0.08</v>
      </c>
    </row>
    <row r="65" spans="1:10" x14ac:dyDescent="0.3">
      <c r="A65" t="s">
        <v>80</v>
      </c>
      <c r="B65" s="1">
        <v>45844.2341087963</v>
      </c>
      <c r="C65" t="s">
        <v>16</v>
      </c>
      <c r="D65">
        <v>1019</v>
      </c>
      <c r="E65" t="s">
        <v>20</v>
      </c>
      <c r="F65">
        <v>3</v>
      </c>
      <c r="G65">
        <v>603</v>
      </c>
      <c r="H65" t="str">
        <f>_xlfn.XLOOKUP(E65,tblProducts[Product],tblProducts[Category],"Not Found")</f>
        <v>Electronics</v>
      </c>
      <c r="I65">
        <f>_xlfn.XLOOKUP(E65,tblProducts[Product],tblProducts[UnitCost],"Not Found")</f>
        <v>469</v>
      </c>
      <c r="J65" s="3">
        <f>_xlfn.XLOOKUP(E65,tblProducts[Product],tblProducts[Discount],"Not Found")</f>
        <v>0.22</v>
      </c>
    </row>
    <row r="66" spans="1:10" x14ac:dyDescent="0.3">
      <c r="A66" t="s">
        <v>81</v>
      </c>
      <c r="B66" s="1">
        <v>45850.673425925925</v>
      </c>
      <c r="C66" t="s">
        <v>8</v>
      </c>
      <c r="D66">
        <v>1006</v>
      </c>
      <c r="E66" t="s">
        <v>14</v>
      </c>
      <c r="F66">
        <v>8</v>
      </c>
      <c r="G66">
        <v>1987</v>
      </c>
      <c r="H66" t="str">
        <f>_xlfn.XLOOKUP(E66,tblProducts[Product],tblProducts[Category],"Not Found")</f>
        <v>Electronics</v>
      </c>
      <c r="I66">
        <f>_xlfn.XLOOKUP(E66,tblProducts[Product],tblProducts[UnitCost],"Not Found")</f>
        <v>463</v>
      </c>
      <c r="J66" s="3">
        <f>_xlfn.XLOOKUP(E66,tblProducts[Product],tblProducts[Discount],"Not Found")</f>
        <v>0.23</v>
      </c>
    </row>
    <row r="67" spans="1:10" x14ac:dyDescent="0.3">
      <c r="A67" t="s">
        <v>82</v>
      </c>
      <c r="B67" s="1">
        <v>45891.79111111111</v>
      </c>
      <c r="C67" t="s">
        <v>19</v>
      </c>
      <c r="D67">
        <v>1008</v>
      </c>
      <c r="E67" t="s">
        <v>20</v>
      </c>
      <c r="F67">
        <v>3</v>
      </c>
      <c r="G67">
        <v>589</v>
      </c>
      <c r="H67" t="str">
        <f>_xlfn.XLOOKUP(E67,tblProducts[Product],tblProducts[Category],"Not Found")</f>
        <v>Electronics</v>
      </c>
      <c r="I67">
        <f>_xlfn.XLOOKUP(E67,tblProducts[Product],tblProducts[UnitCost],"Not Found")</f>
        <v>469</v>
      </c>
      <c r="J67" s="3">
        <f>_xlfn.XLOOKUP(E67,tblProducts[Product],tblProducts[Discount],"Not Found")</f>
        <v>0.22</v>
      </c>
    </row>
    <row r="68" spans="1:10" x14ac:dyDescent="0.3">
      <c r="A68" t="s">
        <v>83</v>
      </c>
      <c r="B68" s="1">
        <v>45886.32172453704</v>
      </c>
      <c r="C68" t="s">
        <v>16</v>
      </c>
      <c r="D68">
        <v>1006</v>
      </c>
      <c r="E68" t="s">
        <v>11</v>
      </c>
      <c r="F68">
        <v>2</v>
      </c>
      <c r="G68">
        <v>1742</v>
      </c>
      <c r="H68" t="str">
        <f>_xlfn.XLOOKUP(E68,tblProducts[Product],tblProducts[Category],"Not Found")</f>
        <v>Accessories</v>
      </c>
      <c r="I68">
        <f>_xlfn.XLOOKUP(E68,tblProducts[Product],tblProducts[UnitCost],"Not Found")</f>
        <v>323</v>
      </c>
      <c r="J68" s="3">
        <f>_xlfn.XLOOKUP(E68,tblProducts[Product],tblProducts[Discount],"Not Found")</f>
        <v>0.1</v>
      </c>
    </row>
    <row r="69" spans="1:10" x14ac:dyDescent="0.3">
      <c r="A69" t="s">
        <v>84</v>
      </c>
      <c r="B69" s="1">
        <v>45857.334780092591</v>
      </c>
      <c r="C69" t="s">
        <v>8</v>
      </c>
      <c r="D69">
        <v>1015</v>
      </c>
      <c r="E69" t="s">
        <v>17</v>
      </c>
      <c r="F69">
        <v>4</v>
      </c>
      <c r="G69">
        <v>1461</v>
      </c>
      <c r="H69" t="str">
        <f>_xlfn.XLOOKUP(E69,tblProducts[Product],tblProducts[Category],"Not Found")</f>
        <v>Electronics</v>
      </c>
      <c r="I69">
        <f>_xlfn.XLOOKUP(E69,tblProducts[Product],tblProducts[UnitCost],"Not Found")</f>
        <v>97</v>
      </c>
      <c r="J69" s="3">
        <f>_xlfn.XLOOKUP(E69,tblProducts[Product],tblProducts[Discount],"Not Found")</f>
        <v>0.08</v>
      </c>
    </row>
    <row r="70" spans="1:10" x14ac:dyDescent="0.3">
      <c r="A70" t="s">
        <v>85</v>
      </c>
      <c r="B70" s="1">
        <v>45914.314293981479</v>
      </c>
      <c r="C70" t="s">
        <v>8</v>
      </c>
      <c r="D70">
        <v>1002</v>
      </c>
      <c r="E70" t="s">
        <v>20</v>
      </c>
      <c r="F70">
        <v>3</v>
      </c>
      <c r="G70">
        <v>1133</v>
      </c>
      <c r="H70" t="str">
        <f>_xlfn.XLOOKUP(E70,tblProducts[Product],tblProducts[Category],"Not Found")</f>
        <v>Electronics</v>
      </c>
      <c r="I70">
        <f>_xlfn.XLOOKUP(E70,tblProducts[Product],tblProducts[UnitCost],"Not Found")</f>
        <v>469</v>
      </c>
      <c r="J70" s="3">
        <f>_xlfn.XLOOKUP(E70,tblProducts[Product],tblProducts[Discount],"Not Found")</f>
        <v>0.22</v>
      </c>
    </row>
    <row r="71" spans="1:10" x14ac:dyDescent="0.3">
      <c r="A71" t="s">
        <v>86</v>
      </c>
      <c r="B71" s="1">
        <v>45926.581597222219</v>
      </c>
      <c r="C71" t="s">
        <v>16</v>
      </c>
      <c r="D71">
        <v>1018</v>
      </c>
      <c r="E71" t="s">
        <v>14</v>
      </c>
      <c r="F71">
        <v>5</v>
      </c>
      <c r="G71">
        <v>644</v>
      </c>
      <c r="H71" t="str">
        <f>_xlfn.XLOOKUP(E71,tblProducts[Product],tblProducts[Category],"Not Found")</f>
        <v>Electronics</v>
      </c>
      <c r="I71">
        <f>_xlfn.XLOOKUP(E71,tblProducts[Product],tblProducts[UnitCost],"Not Found")</f>
        <v>463</v>
      </c>
      <c r="J71" s="3">
        <f>_xlfn.XLOOKUP(E71,tblProducts[Product],tblProducts[Discount],"Not Found")</f>
        <v>0.23</v>
      </c>
    </row>
    <row r="72" spans="1:10" x14ac:dyDescent="0.3">
      <c r="A72" t="s">
        <v>87</v>
      </c>
      <c r="B72" s="1">
        <v>45897.155312499999</v>
      </c>
      <c r="C72" t="s">
        <v>19</v>
      </c>
      <c r="D72">
        <v>1002</v>
      </c>
      <c r="E72" t="s">
        <v>11</v>
      </c>
      <c r="F72">
        <v>2</v>
      </c>
      <c r="G72">
        <v>1265</v>
      </c>
      <c r="H72" t="str">
        <f>_xlfn.XLOOKUP(E72,tblProducts[Product],tblProducts[Category],"Not Found")</f>
        <v>Accessories</v>
      </c>
      <c r="I72">
        <f>_xlfn.XLOOKUP(E72,tblProducts[Product],tblProducts[UnitCost],"Not Found")</f>
        <v>323</v>
      </c>
      <c r="J72" s="3">
        <f>_xlfn.XLOOKUP(E72,tblProducts[Product],tblProducts[Discount],"Not Found")</f>
        <v>0.1</v>
      </c>
    </row>
    <row r="73" spans="1:10" x14ac:dyDescent="0.3">
      <c r="A73" t="s">
        <v>88</v>
      </c>
      <c r="B73" s="1">
        <v>45868.096215277779</v>
      </c>
      <c r="C73" t="s">
        <v>13</v>
      </c>
      <c r="D73">
        <v>1011</v>
      </c>
      <c r="E73" t="s">
        <v>9</v>
      </c>
      <c r="F73">
        <v>3</v>
      </c>
      <c r="G73">
        <v>1634</v>
      </c>
      <c r="H73" t="str">
        <f>_xlfn.XLOOKUP(E73,tblProducts[Product],tblProducts[Category],"Not Found")</f>
        <v>Electronics</v>
      </c>
      <c r="I73">
        <f>_xlfn.XLOOKUP(E73,tblProducts[Product],tblProducts[UnitCost],"Not Found")</f>
        <v>492</v>
      </c>
      <c r="J73" s="3">
        <f>_xlfn.XLOOKUP(E73,tblProducts[Product],tblProducts[Discount],"Not Found")</f>
        <v>0.14000000000000001</v>
      </c>
    </row>
    <row r="74" spans="1:10" x14ac:dyDescent="0.3">
      <c r="A74" t="s">
        <v>89</v>
      </c>
      <c r="B74" s="1">
        <v>45916.957511574074</v>
      </c>
      <c r="C74" t="s">
        <v>16</v>
      </c>
      <c r="D74">
        <v>1012</v>
      </c>
      <c r="E74" t="s">
        <v>25</v>
      </c>
      <c r="F74">
        <v>3</v>
      </c>
      <c r="G74">
        <v>144</v>
      </c>
      <c r="H74" t="str">
        <f>_xlfn.XLOOKUP(E74,tblProducts[Product],tblProducts[Category],"Not Found")</f>
        <v>Office</v>
      </c>
      <c r="I74">
        <f>_xlfn.XLOOKUP(E74,tblProducts[Product],tblProducts[UnitCost],"Not Found")</f>
        <v>136</v>
      </c>
      <c r="J74" s="3">
        <f>_xlfn.XLOOKUP(E74,tblProducts[Product],tblProducts[Discount],"Not Found")</f>
        <v>0.1</v>
      </c>
    </row>
    <row r="75" spans="1:10" x14ac:dyDescent="0.3">
      <c r="A75" t="s">
        <v>90</v>
      </c>
      <c r="B75" s="1">
        <v>45849.520115740743</v>
      </c>
      <c r="C75" t="s">
        <v>13</v>
      </c>
      <c r="D75">
        <v>1005</v>
      </c>
      <c r="E75" t="s">
        <v>9</v>
      </c>
      <c r="F75">
        <v>8</v>
      </c>
      <c r="G75">
        <v>1707</v>
      </c>
      <c r="H75" t="str">
        <f>_xlfn.XLOOKUP(E75,tblProducts[Product],tblProducts[Category],"Not Found")</f>
        <v>Electronics</v>
      </c>
      <c r="I75">
        <f>_xlfn.XLOOKUP(E75,tblProducts[Product],tblProducts[UnitCost],"Not Found")</f>
        <v>492</v>
      </c>
      <c r="J75" s="3">
        <f>_xlfn.XLOOKUP(E75,tblProducts[Product],tblProducts[Discount],"Not Found")</f>
        <v>0.14000000000000001</v>
      </c>
    </row>
    <row r="76" spans="1:10" x14ac:dyDescent="0.3">
      <c r="A76" t="s">
        <v>91</v>
      </c>
      <c r="B76" s="1">
        <v>45873.09915509259</v>
      </c>
      <c r="C76" t="s">
        <v>19</v>
      </c>
      <c r="D76">
        <v>1004</v>
      </c>
      <c r="E76" t="s">
        <v>20</v>
      </c>
      <c r="F76">
        <v>4</v>
      </c>
      <c r="G76">
        <v>960</v>
      </c>
      <c r="H76" t="str">
        <f>_xlfn.XLOOKUP(E76,tblProducts[Product],tblProducts[Category],"Not Found")</f>
        <v>Electronics</v>
      </c>
      <c r="I76">
        <f>_xlfn.XLOOKUP(E76,tblProducts[Product],tblProducts[UnitCost],"Not Found")</f>
        <v>469</v>
      </c>
      <c r="J76" s="3">
        <f>_xlfn.XLOOKUP(E76,tblProducts[Product],tblProducts[Discount],"Not Found")</f>
        <v>0.22</v>
      </c>
    </row>
    <row r="77" spans="1:10" x14ac:dyDescent="0.3">
      <c r="A77" t="s">
        <v>92</v>
      </c>
      <c r="B77" s="1">
        <v>45926.222662037035</v>
      </c>
      <c r="C77" t="s">
        <v>13</v>
      </c>
      <c r="D77">
        <v>1017</v>
      </c>
      <c r="E77" t="s">
        <v>20</v>
      </c>
      <c r="F77">
        <v>5</v>
      </c>
      <c r="G77">
        <v>1416</v>
      </c>
      <c r="H77" t="str">
        <f>_xlfn.XLOOKUP(E77,tblProducts[Product],tblProducts[Category],"Not Found")</f>
        <v>Electronics</v>
      </c>
      <c r="I77">
        <f>_xlfn.XLOOKUP(E77,tblProducts[Product],tblProducts[UnitCost],"Not Found")</f>
        <v>469</v>
      </c>
      <c r="J77" s="3">
        <f>_xlfn.XLOOKUP(E77,tblProducts[Product],tblProducts[Discount],"Not Found")</f>
        <v>0.22</v>
      </c>
    </row>
    <row r="78" spans="1:10" x14ac:dyDescent="0.3">
      <c r="A78" t="s">
        <v>93</v>
      </c>
      <c r="B78" s="1">
        <v>45906.44259259259</v>
      </c>
      <c r="C78" t="s">
        <v>8</v>
      </c>
      <c r="D78">
        <v>1017</v>
      </c>
      <c r="E78" t="s">
        <v>25</v>
      </c>
      <c r="F78">
        <v>2</v>
      </c>
      <c r="G78">
        <v>300</v>
      </c>
      <c r="H78" t="str">
        <f>_xlfn.XLOOKUP(E78,tblProducts[Product],tblProducts[Category],"Not Found")</f>
        <v>Office</v>
      </c>
      <c r="I78">
        <f>_xlfn.XLOOKUP(E78,tblProducts[Product],tblProducts[UnitCost],"Not Found")</f>
        <v>136</v>
      </c>
      <c r="J78" s="3">
        <f>_xlfn.XLOOKUP(E78,tblProducts[Product],tblProducts[Discount],"Not Found")</f>
        <v>0.1</v>
      </c>
    </row>
    <row r="79" spans="1:10" x14ac:dyDescent="0.3">
      <c r="A79" t="s">
        <v>94</v>
      </c>
      <c r="B79" s="1">
        <v>45911.789861111109</v>
      </c>
      <c r="C79" t="s">
        <v>13</v>
      </c>
      <c r="D79">
        <v>1001</v>
      </c>
      <c r="E79" t="s">
        <v>20</v>
      </c>
      <c r="F79">
        <v>7</v>
      </c>
      <c r="G79">
        <v>608</v>
      </c>
      <c r="H79" t="str">
        <f>_xlfn.XLOOKUP(E79,tblProducts[Product],tblProducts[Category],"Not Found")</f>
        <v>Electronics</v>
      </c>
      <c r="I79">
        <f>_xlfn.XLOOKUP(E79,tblProducts[Product],tblProducts[UnitCost],"Not Found")</f>
        <v>469</v>
      </c>
      <c r="J79" s="3">
        <f>_xlfn.XLOOKUP(E79,tblProducts[Product],tblProducts[Discount],"Not Found")</f>
        <v>0.22</v>
      </c>
    </row>
    <row r="80" spans="1:10" x14ac:dyDescent="0.3">
      <c r="A80" t="s">
        <v>95</v>
      </c>
      <c r="B80" s="1">
        <v>45867.799027777779</v>
      </c>
      <c r="C80" t="s">
        <v>13</v>
      </c>
      <c r="D80">
        <v>1017</v>
      </c>
      <c r="E80" t="s">
        <v>20</v>
      </c>
      <c r="F80">
        <v>8</v>
      </c>
      <c r="G80">
        <v>1150</v>
      </c>
      <c r="H80" t="str">
        <f>_xlfn.XLOOKUP(E80,tblProducts[Product],tblProducts[Category],"Not Found")</f>
        <v>Electronics</v>
      </c>
      <c r="I80">
        <f>_xlfn.XLOOKUP(E80,tblProducts[Product],tblProducts[UnitCost],"Not Found")</f>
        <v>469</v>
      </c>
      <c r="J80" s="3">
        <f>_xlfn.XLOOKUP(E80,tblProducts[Product],tblProducts[Discount],"Not Found")</f>
        <v>0.22</v>
      </c>
    </row>
    <row r="81" spans="1:10" x14ac:dyDescent="0.3">
      <c r="A81" t="s">
        <v>96</v>
      </c>
      <c r="B81" s="1">
        <v>45880.701817129629</v>
      </c>
      <c r="C81" t="s">
        <v>19</v>
      </c>
      <c r="D81">
        <v>1019</v>
      </c>
      <c r="E81" t="s">
        <v>9</v>
      </c>
      <c r="F81">
        <v>2</v>
      </c>
      <c r="G81">
        <v>508</v>
      </c>
      <c r="H81" t="str">
        <f>_xlfn.XLOOKUP(E81,tblProducts[Product],tblProducts[Category],"Not Found")</f>
        <v>Electronics</v>
      </c>
      <c r="I81">
        <f>_xlfn.XLOOKUP(E81,tblProducts[Product],tblProducts[UnitCost],"Not Found")</f>
        <v>492</v>
      </c>
      <c r="J81" s="3">
        <f>_xlfn.XLOOKUP(E81,tblProducts[Product],tblProducts[Discount],"Not Found")</f>
        <v>0.14000000000000001</v>
      </c>
    </row>
    <row r="82" spans="1:10" x14ac:dyDescent="0.3">
      <c r="A82" t="s">
        <v>97</v>
      </c>
      <c r="B82" s="1">
        <v>45926.246377314812</v>
      </c>
      <c r="C82" t="s">
        <v>8</v>
      </c>
      <c r="D82">
        <v>1019</v>
      </c>
      <c r="E82" t="s">
        <v>9</v>
      </c>
      <c r="F82">
        <v>1</v>
      </c>
      <c r="G82">
        <v>1272</v>
      </c>
      <c r="H82" t="str">
        <f>_xlfn.XLOOKUP(E82,tblProducts[Product],tblProducts[Category],"Not Found")</f>
        <v>Electronics</v>
      </c>
      <c r="I82">
        <f>_xlfn.XLOOKUP(E82,tblProducts[Product],tblProducts[UnitCost],"Not Found")</f>
        <v>492</v>
      </c>
      <c r="J82" s="3">
        <f>_xlfn.XLOOKUP(E82,tblProducts[Product],tblProducts[Discount],"Not Found")</f>
        <v>0.14000000000000001</v>
      </c>
    </row>
    <row r="83" spans="1:10" x14ac:dyDescent="0.3">
      <c r="A83" t="s">
        <v>98</v>
      </c>
      <c r="B83" s="1">
        <v>45841.351273148146</v>
      </c>
      <c r="C83" t="s">
        <v>19</v>
      </c>
      <c r="D83">
        <v>1012</v>
      </c>
      <c r="E83" t="s">
        <v>14</v>
      </c>
      <c r="F83">
        <v>1</v>
      </c>
      <c r="G83">
        <v>1186</v>
      </c>
      <c r="H83" t="str">
        <f>_xlfn.XLOOKUP(E83,tblProducts[Product],tblProducts[Category],"Not Found")</f>
        <v>Electronics</v>
      </c>
      <c r="I83">
        <f>_xlfn.XLOOKUP(E83,tblProducts[Product],tblProducts[UnitCost],"Not Found")</f>
        <v>463</v>
      </c>
      <c r="J83" s="3">
        <f>_xlfn.XLOOKUP(E83,tblProducts[Product],tblProducts[Discount],"Not Found")</f>
        <v>0.23</v>
      </c>
    </row>
    <row r="84" spans="1:10" x14ac:dyDescent="0.3">
      <c r="A84" t="s">
        <v>99</v>
      </c>
      <c r="B84" s="1">
        <v>45874.122870370367</v>
      </c>
      <c r="C84" t="s">
        <v>16</v>
      </c>
      <c r="D84">
        <v>1001</v>
      </c>
      <c r="E84" t="s">
        <v>20</v>
      </c>
      <c r="F84">
        <v>6</v>
      </c>
      <c r="G84">
        <v>272</v>
      </c>
      <c r="H84" t="str">
        <f>_xlfn.XLOOKUP(E84,tblProducts[Product],tblProducts[Category],"Not Found")</f>
        <v>Electronics</v>
      </c>
      <c r="I84">
        <f>_xlfn.XLOOKUP(E84,tblProducts[Product],tblProducts[UnitCost],"Not Found")</f>
        <v>469</v>
      </c>
      <c r="J84" s="3">
        <f>_xlfn.XLOOKUP(E84,tblProducts[Product],tblProducts[Discount],"Not Found")</f>
        <v>0.22</v>
      </c>
    </row>
    <row r="85" spans="1:10" x14ac:dyDescent="0.3">
      <c r="A85" t="s">
        <v>100</v>
      </c>
      <c r="B85" s="1">
        <v>45875.450671296298</v>
      </c>
      <c r="C85" t="s">
        <v>8</v>
      </c>
      <c r="D85">
        <v>1014</v>
      </c>
      <c r="E85" t="s">
        <v>11</v>
      </c>
      <c r="F85">
        <v>9</v>
      </c>
      <c r="G85">
        <v>1794</v>
      </c>
      <c r="H85" t="str">
        <f>_xlfn.XLOOKUP(E85,tblProducts[Product],tblProducts[Category],"Not Found")</f>
        <v>Accessories</v>
      </c>
      <c r="I85">
        <f>_xlfn.XLOOKUP(E85,tblProducts[Product],tblProducts[UnitCost],"Not Found")</f>
        <v>323</v>
      </c>
      <c r="J85" s="3">
        <f>_xlfn.XLOOKUP(E85,tblProducts[Product],tblProducts[Discount],"Not Found")</f>
        <v>0.1</v>
      </c>
    </row>
    <row r="86" spans="1:10" x14ac:dyDescent="0.3">
      <c r="A86" t="s">
        <v>101</v>
      </c>
      <c r="B86" s="1">
        <v>45895.845381944448</v>
      </c>
      <c r="C86" t="s">
        <v>8</v>
      </c>
      <c r="D86">
        <v>1006</v>
      </c>
      <c r="E86" t="s">
        <v>14</v>
      </c>
      <c r="F86">
        <v>5</v>
      </c>
      <c r="G86">
        <v>757</v>
      </c>
      <c r="H86" t="str">
        <f>_xlfn.XLOOKUP(E86,tblProducts[Product],tblProducts[Category],"Not Found")</f>
        <v>Electronics</v>
      </c>
      <c r="I86">
        <f>_xlfn.XLOOKUP(E86,tblProducts[Product],tblProducts[UnitCost],"Not Found")</f>
        <v>463</v>
      </c>
      <c r="J86" s="3">
        <f>_xlfn.XLOOKUP(E86,tblProducts[Product],tblProducts[Discount],"Not Found")</f>
        <v>0.23</v>
      </c>
    </row>
    <row r="87" spans="1:10" x14ac:dyDescent="0.3">
      <c r="A87" t="s">
        <v>102</v>
      </c>
      <c r="B87" s="1">
        <v>45858.359560185185</v>
      </c>
      <c r="C87" t="s">
        <v>13</v>
      </c>
      <c r="D87">
        <v>1017</v>
      </c>
      <c r="E87" t="s">
        <v>17</v>
      </c>
      <c r="F87">
        <v>9</v>
      </c>
      <c r="G87">
        <v>472</v>
      </c>
      <c r="H87" t="str">
        <f>_xlfn.XLOOKUP(E87,tblProducts[Product],tblProducts[Category],"Not Found")</f>
        <v>Electronics</v>
      </c>
      <c r="I87">
        <f>_xlfn.XLOOKUP(E87,tblProducts[Product],tblProducts[UnitCost],"Not Found")</f>
        <v>97</v>
      </c>
      <c r="J87" s="3">
        <f>_xlfn.XLOOKUP(E87,tblProducts[Product],tblProducts[Discount],"Not Found")</f>
        <v>0.08</v>
      </c>
    </row>
    <row r="88" spans="1:10" x14ac:dyDescent="0.3">
      <c r="A88" t="s">
        <v>103</v>
      </c>
      <c r="B88" s="1">
        <v>45862.545439814814</v>
      </c>
      <c r="C88" t="s">
        <v>16</v>
      </c>
      <c r="D88">
        <v>1002</v>
      </c>
      <c r="E88" t="s">
        <v>20</v>
      </c>
      <c r="F88">
        <v>9</v>
      </c>
      <c r="G88">
        <v>132</v>
      </c>
      <c r="H88" t="str">
        <f>_xlfn.XLOOKUP(E88,tblProducts[Product],tblProducts[Category],"Not Found")</f>
        <v>Electronics</v>
      </c>
      <c r="I88">
        <f>_xlfn.XLOOKUP(E88,tblProducts[Product],tblProducts[UnitCost],"Not Found")</f>
        <v>469</v>
      </c>
      <c r="J88" s="3">
        <f>_xlfn.XLOOKUP(E88,tblProducts[Product],tblProducts[Discount],"Not Found")</f>
        <v>0.22</v>
      </c>
    </row>
    <row r="89" spans="1:10" x14ac:dyDescent="0.3">
      <c r="A89" t="s">
        <v>104</v>
      </c>
      <c r="B89" s="1">
        <v>45861.291134259256</v>
      </c>
      <c r="C89" t="s">
        <v>19</v>
      </c>
      <c r="D89">
        <v>1018</v>
      </c>
      <c r="E89" t="s">
        <v>20</v>
      </c>
      <c r="F89">
        <v>4</v>
      </c>
      <c r="G89">
        <v>1817</v>
      </c>
      <c r="H89" t="str">
        <f>_xlfn.XLOOKUP(E89,tblProducts[Product],tblProducts[Category],"Not Found")</f>
        <v>Electronics</v>
      </c>
      <c r="I89">
        <f>_xlfn.XLOOKUP(E89,tblProducts[Product],tblProducts[UnitCost],"Not Found")</f>
        <v>469</v>
      </c>
      <c r="J89" s="3">
        <f>_xlfn.XLOOKUP(E89,tblProducts[Product],tblProducts[Discount],"Not Found")</f>
        <v>0.22</v>
      </c>
    </row>
    <row r="90" spans="1:10" x14ac:dyDescent="0.3">
      <c r="A90" t="s">
        <v>105</v>
      </c>
      <c r="B90" s="1">
        <v>45889.657800925925</v>
      </c>
      <c r="C90" t="s">
        <v>19</v>
      </c>
      <c r="D90">
        <v>1019</v>
      </c>
      <c r="E90" t="s">
        <v>14</v>
      </c>
      <c r="F90">
        <v>5</v>
      </c>
      <c r="G90">
        <v>698</v>
      </c>
      <c r="H90" t="str">
        <f>_xlfn.XLOOKUP(E90,tblProducts[Product],tblProducts[Category],"Not Found")</f>
        <v>Electronics</v>
      </c>
      <c r="I90">
        <f>_xlfn.XLOOKUP(E90,tblProducts[Product],tblProducts[UnitCost],"Not Found")</f>
        <v>463</v>
      </c>
      <c r="J90" s="3">
        <f>_xlfn.XLOOKUP(E90,tblProducts[Product],tblProducts[Discount],"Not Found")</f>
        <v>0.23</v>
      </c>
    </row>
    <row r="91" spans="1:10" x14ac:dyDescent="0.3">
      <c r="A91" t="s">
        <v>106</v>
      </c>
      <c r="B91" s="1">
        <v>45898.258506944447</v>
      </c>
      <c r="C91" t="s">
        <v>13</v>
      </c>
      <c r="D91">
        <v>1003</v>
      </c>
      <c r="E91" t="s">
        <v>14</v>
      </c>
      <c r="F91">
        <v>3</v>
      </c>
      <c r="G91">
        <v>651</v>
      </c>
      <c r="H91" t="str">
        <f>_xlfn.XLOOKUP(E91,tblProducts[Product],tblProducts[Category],"Not Found")</f>
        <v>Electronics</v>
      </c>
      <c r="I91">
        <f>_xlfn.XLOOKUP(E91,tblProducts[Product],tblProducts[UnitCost],"Not Found")</f>
        <v>463</v>
      </c>
      <c r="J91" s="3">
        <f>_xlfn.XLOOKUP(E91,tblProducts[Product],tblProducts[Discount],"Not Found")</f>
        <v>0.23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AF4E-F30F-4483-842C-42397F3D8856}">
  <dimension ref="A1:E7"/>
  <sheetViews>
    <sheetView workbookViewId="0">
      <selection activeCell="I8" sqref="I8"/>
    </sheetView>
  </sheetViews>
  <sheetFormatPr defaultRowHeight="14.4" x14ac:dyDescent="0.3"/>
  <cols>
    <col min="1" max="1" width="18.6640625" customWidth="1"/>
    <col min="2" max="2" width="13.33203125" customWidth="1"/>
    <col min="3" max="3" width="14.88671875" customWidth="1"/>
    <col min="4" max="4" width="14" customWidth="1"/>
    <col min="5" max="5" width="12.88671875" customWidth="1"/>
  </cols>
  <sheetData>
    <row r="1" spans="1:5" x14ac:dyDescent="0.3">
      <c r="A1" s="2" t="s">
        <v>4</v>
      </c>
      <c r="B1" s="2" t="s">
        <v>107</v>
      </c>
      <c r="C1" s="2" t="s">
        <v>6</v>
      </c>
      <c r="D1" s="2" t="s">
        <v>108</v>
      </c>
      <c r="E1" s="2" t="s">
        <v>109</v>
      </c>
    </row>
    <row r="2" spans="1:5" x14ac:dyDescent="0.3">
      <c r="A2" t="s">
        <v>20</v>
      </c>
      <c r="B2" t="s">
        <v>110</v>
      </c>
      <c r="C2">
        <v>1299</v>
      </c>
      <c r="D2">
        <v>469</v>
      </c>
      <c r="E2">
        <v>0.22</v>
      </c>
    </row>
    <row r="3" spans="1:5" x14ac:dyDescent="0.3">
      <c r="A3" t="s">
        <v>9</v>
      </c>
      <c r="B3" t="s">
        <v>110</v>
      </c>
      <c r="C3">
        <v>1613</v>
      </c>
      <c r="D3">
        <v>492</v>
      </c>
      <c r="E3">
        <v>0.14000000000000001</v>
      </c>
    </row>
    <row r="4" spans="1:5" x14ac:dyDescent="0.3">
      <c r="A4" t="s">
        <v>17</v>
      </c>
      <c r="B4" t="s">
        <v>110</v>
      </c>
      <c r="C4">
        <v>1402</v>
      </c>
      <c r="D4">
        <v>97</v>
      </c>
      <c r="E4">
        <v>0.08</v>
      </c>
    </row>
    <row r="5" spans="1:5" x14ac:dyDescent="0.3">
      <c r="A5" t="s">
        <v>11</v>
      </c>
      <c r="B5" t="s">
        <v>111</v>
      </c>
      <c r="C5">
        <v>106</v>
      </c>
      <c r="D5">
        <v>323</v>
      </c>
      <c r="E5">
        <v>0.1</v>
      </c>
    </row>
    <row r="6" spans="1:5" x14ac:dyDescent="0.3">
      <c r="A6" t="s">
        <v>14</v>
      </c>
      <c r="B6" t="s">
        <v>110</v>
      </c>
      <c r="C6">
        <v>396</v>
      </c>
      <c r="D6">
        <v>463</v>
      </c>
      <c r="E6">
        <v>0.23</v>
      </c>
    </row>
    <row r="7" spans="1:5" x14ac:dyDescent="0.3">
      <c r="A7" t="s">
        <v>25</v>
      </c>
      <c r="B7" t="s">
        <v>112</v>
      </c>
      <c r="C7">
        <v>1635</v>
      </c>
      <c r="D7">
        <v>136</v>
      </c>
      <c r="E7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DBA2B-17B4-4195-B585-44C78E95E0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Sales_All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lusi muladi</dc:creator>
  <cp:lastModifiedBy>lusi muladi</cp:lastModifiedBy>
  <dcterms:created xsi:type="dcterms:W3CDTF">2015-06-05T18:17:20Z</dcterms:created>
  <dcterms:modified xsi:type="dcterms:W3CDTF">2026-08-16T17:18:02Z</dcterms:modified>
</cp:coreProperties>
</file>